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scha0404/Documents/UNI/Chemie/4. semester/PR-Physikalisch-Chemisches Praktikum/Auszufüllende Templates/"/>
    </mc:Choice>
  </mc:AlternateContent>
  <xr:revisionPtr revIDLastSave="0" documentId="13_ncr:1_{F226A0A6-B458-0343-B8E4-15FE00FC227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(x) und T(x) Template" sheetId="1" r:id="rId1"/>
  </sheets>
  <definedNames>
    <definedName name="solver_eng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H9" i="1"/>
  <c r="H10" i="1"/>
  <c r="H11" i="1"/>
  <c r="H12" i="1"/>
  <c r="H13" i="1"/>
  <c r="H14" i="1"/>
  <c r="H15" i="1"/>
  <c r="H16" i="1"/>
  <c r="H8" i="1"/>
  <c r="H39" i="1"/>
  <c r="H40" i="1"/>
  <c r="H41" i="1"/>
  <c r="H42" i="1"/>
  <c r="H43" i="1"/>
  <c r="H44" i="1"/>
  <c r="H45" i="1"/>
  <c r="I8" i="1"/>
  <c r="I9" i="1"/>
  <c r="I11" i="1"/>
  <c r="I12" i="1"/>
  <c r="I13" i="1"/>
  <c r="I14" i="1"/>
  <c r="I15" i="1"/>
  <c r="I16" i="1"/>
  <c r="J8" i="1"/>
  <c r="J9" i="1"/>
  <c r="J10" i="1"/>
  <c r="J11" i="1"/>
  <c r="J12" i="1"/>
  <c r="J13" i="1"/>
  <c r="J14" i="1"/>
  <c r="J15" i="1"/>
  <c r="J16" i="1"/>
  <c r="N28" i="1"/>
  <c r="N29" i="1"/>
  <c r="N30" i="1"/>
  <c r="N31" i="1"/>
  <c r="N32" i="1"/>
  <c r="N33" i="1"/>
  <c r="N34" i="1"/>
  <c r="N35" i="1"/>
  <c r="N36" i="1"/>
  <c r="F16" i="1" l="1"/>
  <c r="B28" i="1"/>
  <c r="H36" i="1"/>
  <c r="H29" i="1"/>
  <c r="H30" i="1"/>
  <c r="H31" i="1"/>
  <c r="H32" i="1"/>
  <c r="H33" i="1"/>
  <c r="H34" i="1"/>
  <c r="H35" i="1"/>
  <c r="H28" i="1"/>
  <c r="K28" i="1" s="1"/>
  <c r="B29" i="1"/>
  <c r="B30" i="1"/>
  <c r="B31" i="1"/>
  <c r="B32" i="1"/>
  <c r="B33" i="1"/>
  <c r="B34" i="1"/>
  <c r="B35" i="1"/>
  <c r="B36" i="1"/>
  <c r="E36" i="1" l="1"/>
  <c r="K36" i="1"/>
  <c r="F9" i="1"/>
  <c r="K29" i="1" s="1"/>
  <c r="G9" i="1"/>
  <c r="E29" i="1" s="1"/>
  <c r="G10" i="1"/>
  <c r="E30" i="1" s="1"/>
  <c r="G11" i="1"/>
  <c r="E31" i="1" s="1"/>
  <c r="G16" i="1"/>
  <c r="G12" i="1"/>
  <c r="E32" i="1" s="1"/>
  <c r="G8" i="1"/>
  <c r="E28" i="1" s="1"/>
  <c r="G13" i="1"/>
  <c r="E33" i="1" s="1"/>
  <c r="G14" i="1"/>
  <c r="E34" i="1" s="1"/>
  <c r="G15" i="1"/>
  <c r="E35" i="1" s="1"/>
  <c r="F11" i="1"/>
  <c r="K31" i="1" s="1"/>
  <c r="F12" i="1"/>
  <c r="K32" i="1" s="1"/>
  <c r="F13" i="1"/>
  <c r="K33" i="1" s="1"/>
  <c r="F14" i="1"/>
  <c r="K34" i="1" s="1"/>
  <c r="F15" i="1"/>
  <c r="K35" i="1" s="1"/>
  <c r="F10" i="1"/>
  <c r="K30" i="1" s="1"/>
</calcChain>
</file>

<file path=xl/sharedStrings.xml><?xml version="1.0" encoding="utf-8"?>
<sst xmlns="http://schemas.openxmlformats.org/spreadsheetml/2006/main" count="50" uniqueCount="49">
  <si>
    <t>Name</t>
  </si>
  <si>
    <t>Gruppe/Nummer</t>
  </si>
  <si>
    <t>Molvolumenverhältnis</t>
  </si>
  <si>
    <r>
      <t xml:space="preserve"> (V</t>
    </r>
    <r>
      <rPr>
        <vertAlign val="subscript"/>
        <sz val="11"/>
        <color indexed="8"/>
        <rFont val="Calibri"/>
        <family val="2"/>
      </rPr>
      <t>m,B</t>
    </r>
    <r>
      <rPr>
        <sz val="11"/>
        <color theme="1"/>
        <rFont val="Calibri"/>
        <family val="2"/>
        <scheme val="minor"/>
      </rPr>
      <t>/V</t>
    </r>
    <r>
      <rPr>
        <vertAlign val="subscript"/>
        <sz val="11"/>
        <color indexed="8"/>
        <rFont val="Calibri"/>
        <family val="2"/>
      </rPr>
      <t>m,A</t>
    </r>
    <r>
      <rPr>
        <sz val="11"/>
        <color theme="1"/>
        <rFont val="Calibri"/>
        <family val="2"/>
        <scheme val="minor"/>
      </rPr>
      <t>)</t>
    </r>
  </si>
  <si>
    <t>(z.B. Q3)</t>
  </si>
  <si>
    <t>GC-Peakfläche Substanz B</t>
  </si>
  <si>
    <t>GC-Peakfläche Substanz A</t>
  </si>
  <si>
    <t>Peakfläche Substanz B</t>
  </si>
  <si>
    <t>Zusammen mit dem Protokoll im OLAT hochladen</t>
  </si>
  <si>
    <t>p / mbar =</t>
  </si>
  <si>
    <t>Siedediagramm-Messung</t>
  </si>
  <si>
    <r>
      <t xml:space="preserve">Molenbruch (Gas) </t>
    </r>
    <r>
      <rPr>
        <i/>
        <sz val="11"/>
        <color indexed="8"/>
        <rFont val="Calibri"/>
        <family val="2"/>
      </rPr>
      <t>y</t>
    </r>
    <r>
      <rPr>
        <vertAlign val="subscript"/>
        <sz val="11"/>
        <color indexed="8"/>
        <rFont val="Calibri"/>
        <family val="2"/>
      </rPr>
      <t>B</t>
    </r>
  </si>
  <si>
    <r>
      <t>T</t>
    </r>
    <r>
      <rPr>
        <vertAlign val="subscript"/>
        <sz val="11"/>
        <color theme="1"/>
        <rFont val="Calibri"/>
        <family val="2"/>
        <scheme val="minor"/>
      </rPr>
      <t>Siede</t>
    </r>
    <r>
      <rPr>
        <sz val="11"/>
        <color theme="1"/>
        <rFont val="Calibri"/>
        <family val="2"/>
        <scheme val="minor"/>
      </rPr>
      <t xml:space="preserve"> / °C</t>
    </r>
  </si>
  <si>
    <t>Mischungen</t>
  </si>
  <si>
    <r>
      <rPr>
        <i/>
        <sz val="11"/>
        <color indexed="8"/>
        <rFont val="Calibri"/>
        <family val="2"/>
      </rPr>
      <t>V</t>
    </r>
    <r>
      <rPr>
        <i/>
        <vertAlign val="subscript"/>
        <sz val="11"/>
        <color indexed="8"/>
        <rFont val="Calibri"/>
        <family val="2"/>
      </rPr>
      <t>A</t>
    </r>
    <r>
      <rPr>
        <sz val="11"/>
        <color indexed="8"/>
        <rFont val="Calibri"/>
        <family val="2"/>
      </rPr>
      <t xml:space="preserve"> / ml              </t>
    </r>
  </si>
  <si>
    <r>
      <rPr>
        <i/>
        <sz val="11"/>
        <color indexed="8"/>
        <rFont val="Calibri"/>
        <family val="2"/>
      </rPr>
      <t>V</t>
    </r>
    <r>
      <rPr>
        <vertAlign val="subscript"/>
        <sz val="11"/>
        <color indexed="8"/>
        <rFont val="Calibri"/>
        <family val="2"/>
      </rPr>
      <t>B</t>
    </r>
    <r>
      <rPr>
        <sz val="11"/>
        <color indexed="8"/>
        <rFont val="Calibri"/>
        <family val="2"/>
      </rPr>
      <t xml:space="preserve"> / ml              </t>
    </r>
  </si>
  <si>
    <t>Fit-Ergebnisse</t>
  </si>
  <si>
    <r>
      <rPr>
        <b/>
        <sz val="11"/>
        <color indexed="8"/>
        <rFont val="Symbol"/>
        <family val="1"/>
        <charset val="2"/>
      </rPr>
      <t xml:space="preserve">W  </t>
    </r>
    <r>
      <rPr>
        <b/>
        <sz val="11"/>
        <color indexed="8"/>
        <rFont val="Calibri"/>
        <family val="2"/>
      </rPr>
      <t xml:space="preserve">  / J mol</t>
    </r>
    <r>
      <rPr>
        <b/>
        <vertAlign val="superscript"/>
        <sz val="11"/>
        <color indexed="8"/>
        <rFont val="Calibri"/>
        <family val="2"/>
      </rPr>
      <t>-1</t>
    </r>
  </si>
  <si>
    <t>Alle orangen Zellen ausfüllen!</t>
  </si>
  <si>
    <t>* Einheiten</t>
  </si>
  <si>
    <t>* Indices (was ist A, was ist B?)</t>
  </si>
  <si>
    <t>BEACHTE:</t>
  </si>
  <si>
    <t>Benennung der Datei nach Filenamenkonvention (s. OLAT)</t>
  </si>
  <si>
    <t>Peakfläche Substanz  A</t>
  </si>
  <si>
    <r>
      <t xml:space="preserve">         Molenbrüche (flüssig)         </t>
    </r>
    <r>
      <rPr>
        <sz val="12"/>
        <color theme="1"/>
        <rFont val="Calibri"/>
        <family val="2"/>
        <scheme val="minor"/>
      </rPr>
      <t>x</t>
    </r>
    <r>
      <rPr>
        <vertAlign val="subscript"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 xml:space="preserve"> (</t>
    </r>
    <r>
      <rPr>
        <i/>
        <sz val="12"/>
        <color indexed="8"/>
        <rFont val="Calibri"/>
        <family val="2"/>
      </rPr>
      <t>x</t>
    </r>
    <r>
      <rPr>
        <vertAlign val="subscript"/>
        <sz val="12"/>
        <color rgb="FF000000"/>
        <rFont val="Calibri"/>
        <family val="2"/>
      </rPr>
      <t>B</t>
    </r>
    <r>
      <rPr>
        <sz val="12"/>
        <color indexed="8"/>
        <rFont val="Calibri"/>
        <family val="2"/>
      </rPr>
      <t>)</t>
    </r>
    <r>
      <rPr>
        <vertAlign val="superscript"/>
        <sz val="11"/>
        <color indexed="8"/>
        <rFont val="Calibri"/>
        <family val="2"/>
      </rPr>
      <t xml:space="preserve">            </t>
    </r>
    <r>
      <rPr>
        <sz val="11"/>
        <color indexed="8"/>
        <rFont val="Calibri"/>
        <family val="2"/>
      </rPr>
      <t xml:space="preserve">                                        (bzgl A steigend geordnet)</t>
    </r>
  </si>
  <si>
    <r>
      <t>gemessener p</t>
    </r>
    <r>
      <rPr>
        <vertAlign val="subscript"/>
        <sz val="11"/>
        <color rgb="FF000000"/>
        <rFont val="Calibri"/>
        <family val="2"/>
      </rPr>
      <t>Ges</t>
    </r>
    <r>
      <rPr>
        <sz val="11"/>
        <color rgb="FF000000"/>
        <rFont val="Calibri"/>
        <family val="2"/>
      </rPr>
      <t xml:space="preserve"> / mbar</t>
    </r>
  </si>
  <si>
    <r>
      <t>berechneter  p</t>
    </r>
    <r>
      <rPr>
        <vertAlign val="subscript"/>
        <sz val="11"/>
        <color theme="1"/>
        <rFont val="Calibri"/>
        <family val="2"/>
        <scheme val="minor"/>
      </rPr>
      <t>Ges</t>
    </r>
    <r>
      <rPr>
        <sz val="11"/>
        <color theme="1"/>
        <rFont val="Calibri"/>
        <family val="2"/>
        <scheme val="minor"/>
      </rPr>
      <t xml:space="preserve"> / mbar</t>
    </r>
  </si>
  <si>
    <t>Kalibrierung Gaschromatographie für T(x)</t>
  </si>
  <si>
    <t>Dampfdruckdaten p(x)</t>
  </si>
  <si>
    <r>
      <t xml:space="preserve">berechneter Partialdruck A /mbar auf Basis </t>
    </r>
    <r>
      <rPr>
        <sz val="11"/>
        <color theme="1"/>
        <rFont val="Symbol"/>
        <family val="1"/>
        <charset val="2"/>
      </rPr>
      <t xml:space="preserve">W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</si>
  <si>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berechneter Partialdruck B /mbar auf Basis </t>
    </r>
    <r>
      <rPr>
        <sz val="11"/>
        <color theme="1"/>
        <rFont val="Symbol"/>
        <family val="1"/>
        <charset val="2"/>
      </rPr>
      <t>W</t>
    </r>
  </si>
  <si>
    <r>
      <t xml:space="preserve">berechneter Molenbruch (Gas) </t>
    </r>
    <r>
      <rPr>
        <i/>
        <sz val="11"/>
        <color indexed="8"/>
        <rFont val="Calibri"/>
        <family val="2"/>
      </rPr>
      <t>y</t>
    </r>
    <r>
      <rPr>
        <vertAlign val="subscript"/>
        <sz val="11"/>
        <color indexed="8"/>
        <rFont val="Calibri"/>
        <family val="2"/>
      </rPr>
      <t>B</t>
    </r>
    <r>
      <rPr>
        <vertAlign val="subscript"/>
        <sz val="11"/>
        <color theme="1"/>
        <rFont val="Calibri"/>
        <family val="2"/>
        <scheme val="minor"/>
      </rPr>
      <t>,theo</t>
    </r>
  </si>
  <si>
    <t xml:space="preserve"> </t>
  </si>
  <si>
    <t>Sascha Berens</t>
  </si>
  <si>
    <t>F1</t>
  </si>
  <si>
    <t>R</t>
  </si>
  <si>
    <t>T</t>
  </si>
  <si>
    <t>K</t>
  </si>
  <si>
    <t>J/mol*K</t>
  </si>
  <si>
    <t xml:space="preserve"> T / °C =80</t>
  </si>
  <si>
    <t>Partialdampfdruck pB:</t>
  </si>
  <si>
    <t>Aktivitätskoeffizient yB</t>
  </si>
  <si>
    <t>Aktivitätskoeffizient yA:</t>
  </si>
  <si>
    <t>Partialdruck pA:</t>
  </si>
  <si>
    <t>UNISCHER</t>
  </si>
  <si>
    <t>UNSICHER</t>
  </si>
  <si>
    <t>Berechnung: Dampf</t>
  </si>
  <si>
    <t>Berechnung Siede:</t>
  </si>
  <si>
    <t>pB: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</si>
</sst>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vertAlign val="subscript"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vertAlign val="subscript"/>
      <sz val="11"/>
      <color theme="1"/>
      <name val="Calibri"/>
      <family val="2"/>
      <scheme val="minor"/>
    </font>
    <font>
      <i/>
      <vertAlign val="subscript"/>
      <sz val="11"/>
      <color indexed="8"/>
      <name val="Calibri"/>
      <family val="2"/>
    </font>
    <font>
      <b/>
      <sz val="11"/>
      <color indexed="8"/>
      <name val="Symbol"/>
      <family val="1"/>
      <charset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vertAlign val="superscript"/>
      <sz val="11"/>
      <color indexed="8"/>
      <name val="Calibri"/>
      <family val="2"/>
    </font>
    <font>
      <i/>
      <sz val="12"/>
      <color indexed="8"/>
      <name val="Calibri"/>
      <family val="2"/>
    </font>
    <font>
      <sz val="12"/>
      <color indexed="8"/>
      <name val="Calibri"/>
      <family val="2"/>
    </font>
    <font>
      <vertAlign val="subscript"/>
      <sz val="12"/>
      <color theme="1"/>
      <name val="Calibri"/>
      <family val="2"/>
      <scheme val="minor"/>
    </font>
    <font>
      <vertAlign val="subscript"/>
      <sz val="12"/>
      <color rgb="FF000000"/>
      <name val="Calibri"/>
      <family val="2"/>
    </font>
    <font>
      <b/>
      <sz val="11"/>
      <color indexed="8"/>
      <name val="Calibri"/>
      <family val="1"/>
      <charset val="2"/>
    </font>
    <font>
      <sz val="11"/>
      <color theme="1"/>
      <name val="Symbol"/>
      <family val="1"/>
      <charset val="2"/>
    </font>
    <font>
      <sz val="11"/>
      <color rgb="FF000000"/>
      <name val="Calibri"/>
      <family val="2"/>
    </font>
    <font>
      <vertAlign val="subscript"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right" vertical="top" wrapText="1"/>
      <protection locked="0"/>
    </xf>
    <xf numFmtId="0" fontId="6" fillId="0" borderId="1" xfId="0" applyFont="1" applyBorder="1"/>
    <xf numFmtId="0" fontId="0" fillId="0" borderId="6" xfId="0" applyBorder="1" applyAlignment="1">
      <alignment horizontal="center"/>
    </xf>
    <xf numFmtId="0" fontId="6" fillId="0" borderId="3" xfId="0" applyFont="1" applyBorder="1"/>
    <xf numFmtId="0" fontId="0" fillId="0" borderId="4" xfId="0" applyBorder="1" applyAlignment="1">
      <alignment horizontal="center"/>
    </xf>
    <xf numFmtId="0" fontId="6" fillId="0" borderId="2" xfId="0" applyFont="1" applyBorder="1"/>
    <xf numFmtId="165" fontId="0" fillId="0" borderId="2" xfId="0" applyNumberFormat="1" applyBorder="1"/>
    <xf numFmtId="0" fontId="0" fillId="0" borderId="2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6" fillId="0" borderId="11" xfId="0" applyFont="1" applyBorder="1" applyAlignment="1">
      <alignment horizontal="center" wrapText="1"/>
    </xf>
    <xf numFmtId="0" fontId="0" fillId="0" borderId="16" xfId="0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0" fillId="0" borderId="16" xfId="0" applyBorder="1" applyAlignment="1">
      <alignment horizontal="right" vertical="top" wrapText="1"/>
    </xf>
    <xf numFmtId="0" fontId="0" fillId="0" borderId="17" xfId="0" applyBorder="1" applyAlignment="1">
      <alignment horizontal="right" vertical="top" wrapText="1"/>
    </xf>
    <xf numFmtId="0" fontId="0" fillId="0" borderId="18" xfId="0" applyBorder="1" applyAlignment="1">
      <alignment horizontal="right" vertical="top" wrapText="1"/>
    </xf>
    <xf numFmtId="0" fontId="0" fillId="0" borderId="19" xfId="0" applyBorder="1" applyAlignment="1">
      <alignment horizontal="right" vertical="top" wrapText="1"/>
    </xf>
    <xf numFmtId="0" fontId="0" fillId="0" borderId="6" xfId="0" applyBorder="1"/>
    <xf numFmtId="2" fontId="0" fillId="0" borderId="12" xfId="0" quotePrefix="1" applyNumberFormat="1" applyBorder="1" applyAlignment="1">
      <alignment horizontal="right"/>
    </xf>
    <xf numFmtId="2" fontId="0" fillId="0" borderId="7" xfId="0" quotePrefix="1" applyNumberFormat="1" applyBorder="1" applyAlignment="1">
      <alignment horizontal="right"/>
    </xf>
    <xf numFmtId="2" fontId="0" fillId="0" borderId="14" xfId="0" quotePrefix="1" applyNumberFormat="1" applyBorder="1" applyAlignment="1">
      <alignment horizontal="right"/>
    </xf>
    <xf numFmtId="2" fontId="0" fillId="0" borderId="13" xfId="0" quotePrefix="1" applyNumberFormat="1" applyBorder="1" applyAlignment="1">
      <alignment horizontal="right"/>
    </xf>
    <xf numFmtId="2" fontId="0" fillId="0" borderId="8" xfId="0" quotePrefix="1" applyNumberFormat="1" applyBorder="1" applyAlignment="1">
      <alignment horizontal="right"/>
    </xf>
    <xf numFmtId="2" fontId="0" fillId="0" borderId="15" xfId="0" quotePrefix="1" applyNumberFormat="1" applyBorder="1" applyAlignment="1">
      <alignment horizontal="right"/>
    </xf>
    <xf numFmtId="0" fontId="11" fillId="2" borderId="22" xfId="0" applyFont="1" applyFill="1" applyBorder="1"/>
    <xf numFmtId="0" fontId="11" fillId="2" borderId="23" xfId="0" applyFont="1" applyFill="1" applyBorder="1"/>
    <xf numFmtId="0" fontId="13" fillId="2" borderId="0" xfId="0" applyFont="1" applyFill="1"/>
    <xf numFmtId="0" fontId="12" fillId="2" borderId="0" xfId="0" applyFont="1" applyFill="1"/>
    <xf numFmtId="0" fontId="0" fillId="2" borderId="0" xfId="0" applyFill="1" applyProtection="1">
      <protection locked="0"/>
    </xf>
    <xf numFmtId="0" fontId="0" fillId="2" borderId="0" xfId="0" applyFill="1"/>
    <xf numFmtId="0" fontId="11" fillId="2" borderId="21" xfId="0" applyFont="1" applyFill="1" applyBorder="1" applyAlignment="1">
      <alignment horizontal="left"/>
    </xf>
    <xf numFmtId="165" fontId="0" fillId="3" borderId="12" xfId="0" applyNumberFormat="1" applyFill="1" applyBorder="1"/>
    <xf numFmtId="164" fontId="0" fillId="3" borderId="14" xfId="0" applyNumberFormat="1" applyFill="1" applyBorder="1" applyProtection="1">
      <protection locked="0"/>
    </xf>
    <xf numFmtId="2" fontId="0" fillId="3" borderId="7" xfId="0" applyNumberFormat="1" applyFill="1" applyBorder="1"/>
    <xf numFmtId="2" fontId="0" fillId="3" borderId="3" xfId="0" applyNumberFormat="1" applyFill="1" applyBorder="1"/>
    <xf numFmtId="2" fontId="0" fillId="3" borderId="4" xfId="0" applyNumberFormat="1" applyFill="1" applyBorder="1"/>
    <xf numFmtId="2" fontId="0" fillId="3" borderId="0" xfId="0" applyNumberFormat="1" applyFill="1"/>
    <xf numFmtId="165" fontId="0" fillId="3" borderId="14" xfId="0" applyNumberFormat="1" applyFill="1" applyBorder="1"/>
    <xf numFmtId="164" fontId="0" fillId="3" borderId="7" xfId="0" applyNumberFormat="1" applyFill="1" applyBorder="1"/>
    <xf numFmtId="164" fontId="0" fillId="3" borderId="4" xfId="0" applyNumberFormat="1" applyFill="1" applyBorder="1"/>
    <xf numFmtId="0" fontId="0" fillId="3" borderId="2" xfId="0" applyFill="1" applyBorder="1" applyProtection="1">
      <protection locked="0"/>
    </xf>
    <xf numFmtId="165" fontId="0" fillId="3" borderId="25" xfId="0" applyNumberFormat="1" applyFill="1" applyBorder="1"/>
    <xf numFmtId="164" fontId="0" fillId="3" borderId="20" xfId="0" applyNumberFormat="1" applyFill="1" applyBorder="1" applyProtection="1">
      <protection locked="0"/>
    </xf>
    <xf numFmtId="2" fontId="0" fillId="3" borderId="24" xfId="0" applyNumberFormat="1" applyFill="1" applyBorder="1"/>
    <xf numFmtId="165" fontId="0" fillId="3" borderId="13" xfId="0" applyNumberFormat="1" applyFill="1" applyBorder="1"/>
    <xf numFmtId="164" fontId="0" fillId="3" borderId="15" xfId="0" applyNumberFormat="1" applyFill="1" applyBorder="1" applyProtection="1">
      <protection locked="0"/>
    </xf>
    <xf numFmtId="2" fontId="0" fillId="3" borderId="8" xfId="0" applyNumberFormat="1" applyFill="1" applyBorder="1"/>
    <xf numFmtId="165" fontId="0" fillId="3" borderId="20" xfId="0" applyNumberFormat="1" applyFill="1" applyBorder="1"/>
    <xf numFmtId="164" fontId="0" fillId="3" borderId="24" xfId="0" applyNumberFormat="1" applyFill="1" applyBorder="1"/>
    <xf numFmtId="165" fontId="0" fillId="3" borderId="15" xfId="0" applyNumberFormat="1" applyFill="1" applyBorder="1"/>
    <xf numFmtId="164" fontId="0" fillId="3" borderId="8" xfId="0" applyNumberFormat="1" applyFill="1" applyBorder="1"/>
    <xf numFmtId="0" fontId="0" fillId="3" borderId="10" xfId="0" applyFill="1" applyBorder="1"/>
    <xf numFmtId="164" fontId="0" fillId="3" borderId="5" xfId="0" applyNumberFormat="1" applyFill="1" applyBorder="1"/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0" fontId="19" fillId="0" borderId="26" xfId="0" applyFont="1" applyBorder="1"/>
    <xf numFmtId="0" fontId="21" fillId="0" borderId="17" xfId="0" applyFont="1" applyBorder="1" applyAlignment="1">
      <alignment horizontal="right" vertical="top" wrapText="1"/>
    </xf>
    <xf numFmtId="165" fontId="0" fillId="3" borderId="28" xfId="0" applyNumberFormat="1" applyFill="1" applyBorder="1"/>
    <xf numFmtId="0" fontId="0" fillId="4" borderId="10" xfId="0" applyFill="1" applyBorder="1" applyAlignment="1">
      <alignment horizontal="center"/>
    </xf>
    <xf numFmtId="2" fontId="0" fillId="0" borderId="0" xfId="0" applyNumberFormat="1"/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Protection="1">
      <protection locked="0"/>
    </xf>
    <xf numFmtId="2" fontId="0" fillId="3" borderId="29" xfId="0" applyNumberFormat="1" applyFill="1" applyBorder="1"/>
    <xf numFmtId="2" fontId="0" fillId="0" borderId="18" xfId="0" applyNumberFormat="1" applyBorder="1"/>
    <xf numFmtId="165" fontId="0" fillId="0" borderId="18" xfId="0" applyNumberFormat="1" applyBorder="1" applyProtection="1">
      <protection locked="0"/>
    </xf>
    <xf numFmtId="0" fontId="0" fillId="0" borderId="27" xfId="0" applyBorder="1" applyProtection="1">
      <protection locked="0"/>
    </xf>
    <xf numFmtId="0" fontId="0" fillId="0" borderId="30" xfId="0" applyBorder="1" applyProtection="1">
      <protection locked="0"/>
    </xf>
    <xf numFmtId="2" fontId="0" fillId="0" borderId="31" xfId="0" applyNumberFormat="1" applyBorder="1"/>
    <xf numFmtId="0" fontId="0" fillId="0" borderId="28" xfId="0" applyBorder="1" applyProtection="1">
      <protection locked="0"/>
    </xf>
    <xf numFmtId="2" fontId="0" fillId="0" borderId="32" xfId="0" applyNumberFormat="1" applyBorder="1"/>
    <xf numFmtId="0" fontId="0" fillId="0" borderId="33" xfId="0" applyBorder="1" applyProtection="1">
      <protection locked="0"/>
    </xf>
    <xf numFmtId="0" fontId="0" fillId="0" borderId="34" xfId="0" applyBorder="1" applyProtection="1">
      <protection locked="0"/>
    </xf>
    <xf numFmtId="165" fontId="0" fillId="3" borderId="35" xfId="0" applyNumberFormat="1" applyFill="1" applyBorder="1"/>
    <xf numFmtId="2" fontId="0" fillId="0" borderId="30" xfId="0" applyNumberFormat="1" applyBorder="1"/>
    <xf numFmtId="2" fontId="0" fillId="0" borderId="19" xfId="0" applyNumberFormat="1" applyBorder="1"/>
    <xf numFmtId="2" fontId="0" fillId="0" borderId="28" xfId="0" applyNumberFormat="1" applyBorder="1"/>
    <xf numFmtId="2" fontId="0" fillId="0" borderId="27" xfId="0" applyNumberFormat="1" applyBorder="1"/>
    <xf numFmtId="165" fontId="0" fillId="0" borderId="0" xfId="0" applyNumberFormat="1" applyProtection="1">
      <protection locked="0"/>
    </xf>
    <xf numFmtId="2" fontId="0" fillId="0" borderId="3" xfId="0" applyNumberFormat="1" applyBorder="1"/>
    <xf numFmtId="0" fontId="6" fillId="0" borderId="9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D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45720</xdr:rowOff>
    </xdr:from>
    <xdr:to>
      <xdr:col>4</xdr:col>
      <xdr:colOff>1468120</xdr:colOff>
      <xdr:row>69</xdr:row>
      <xdr:rowOff>10968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51BE789E-6117-8321-FB65-F00EE6F1A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11920"/>
          <a:ext cx="7259320" cy="5669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65FBFF-B133-BF4E-8DDA-C3B6A61E8433}">
  <we:reference id="wa104100404" version="3.0.0.1" store="de-DE" storeType="OMEX"/>
  <we:alternateReferences>
    <we:reference id="wa104100404" version="3.0.0.1" store="de-DE" storeType="OMEX"/>
  </we:alternateReferences>
  <we:properties>
    <we:property name="UniqueID" value="&quot;2025428174844641638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zoomScale="75" zoomScaleNormal="89" workbookViewId="0">
      <selection activeCell="E24" sqref="E24"/>
    </sheetView>
  </sheetViews>
  <sheetFormatPr baseColWidth="10" defaultColWidth="11.5" defaultRowHeight="15" x14ac:dyDescent="0.2"/>
  <cols>
    <col min="1" max="1" width="24.33203125" style="1" customWidth="1"/>
    <col min="2" max="3" width="15.6640625" style="1" customWidth="1"/>
    <col min="4" max="4" width="20.33203125" style="1" customWidth="1"/>
    <col min="5" max="5" width="21.33203125" style="1" customWidth="1"/>
    <col min="6" max="6" width="15.6640625" style="1" customWidth="1"/>
    <col min="7" max="7" width="19.1640625" style="1" customWidth="1"/>
    <col min="8" max="8" width="15.6640625" style="1" customWidth="1"/>
    <col min="9" max="9" width="16.1640625" style="1" customWidth="1"/>
    <col min="10" max="12" width="15.6640625" style="1" customWidth="1"/>
    <col min="13" max="13" width="17.6640625" style="1" customWidth="1"/>
    <col min="14" max="14" width="15.6640625" style="1" customWidth="1"/>
    <col min="15" max="16384" width="11.5" style="1"/>
  </cols>
  <sheetData>
    <row r="1" spans="1:14" ht="21" thickTop="1" thickBot="1" x14ac:dyDescent="0.3">
      <c r="A1" s="3" t="s">
        <v>0</v>
      </c>
      <c r="B1" s="43" t="s">
        <v>33</v>
      </c>
      <c r="C1" s="4"/>
      <c r="D1"/>
      <c r="E1" s="29" t="s">
        <v>18</v>
      </c>
      <c r="F1" s="30"/>
      <c r="G1" s="30"/>
      <c r="H1" s="30"/>
      <c r="I1" s="30"/>
      <c r="J1"/>
      <c r="K1" s="33" t="s">
        <v>21</v>
      </c>
      <c r="L1" s="31"/>
      <c r="M1"/>
    </row>
    <row r="2" spans="1:14" x14ac:dyDescent="0.2">
      <c r="A2" s="5" t="s">
        <v>1</v>
      </c>
      <c r="B2" s="56" t="s">
        <v>34</v>
      </c>
      <c r="C2" s="6" t="s">
        <v>4</v>
      </c>
      <c r="D2"/>
      <c r="E2" s="30" t="s">
        <v>22</v>
      </c>
      <c r="F2" s="30"/>
      <c r="G2" s="30"/>
      <c r="H2" s="30"/>
      <c r="I2" s="30"/>
      <c r="J2"/>
      <c r="K2" s="27" t="s">
        <v>19</v>
      </c>
      <c r="L2" s="31"/>
      <c r="M2"/>
    </row>
    <row r="3" spans="1:14" ht="18" thickBot="1" x14ac:dyDescent="0.3">
      <c r="A3" s="5" t="s">
        <v>2</v>
      </c>
      <c r="B3" s="57">
        <v>0.88500000000000001</v>
      </c>
      <c r="C3" s="6" t="s">
        <v>3</v>
      </c>
      <c r="D3"/>
      <c r="E3" s="30" t="s">
        <v>8</v>
      </c>
      <c r="F3" s="30"/>
      <c r="G3" s="30"/>
      <c r="H3" s="30"/>
      <c r="I3" s="30"/>
      <c r="J3"/>
      <c r="K3" s="28" t="s">
        <v>20</v>
      </c>
      <c r="L3" s="32"/>
      <c r="M3"/>
    </row>
    <row r="4" spans="1:14" ht="16" thickTop="1" x14ac:dyDescent="0.2">
      <c r="A4" s="7"/>
      <c r="B4" s="8"/>
      <c r="C4" s="9"/>
      <c r="D4"/>
      <c r="E4" t="s">
        <v>32</v>
      </c>
      <c r="F4"/>
      <c r="G4"/>
      <c r="H4"/>
      <c r="I4"/>
      <c r="J4"/>
      <c r="K4"/>
      <c r="L4"/>
      <c r="M4"/>
      <c r="N4"/>
    </row>
    <row r="5" spans="1:14" ht="16" thickBot="1" x14ac:dyDescent="0.25">
      <c r="A5" s="10"/>
      <c r="B5"/>
      <c r="C5" s="11"/>
      <c r="D5"/>
      <c r="E5"/>
      <c r="F5"/>
      <c r="G5"/>
      <c r="H5"/>
      <c r="I5"/>
      <c r="J5"/>
      <c r="K5"/>
      <c r="L5"/>
      <c r="M5"/>
      <c r="N5"/>
    </row>
    <row r="6" spans="1:14" ht="17" customHeight="1" thickTop="1" x14ac:dyDescent="0.2">
      <c r="A6" s="87" t="s">
        <v>13</v>
      </c>
      <c r="B6" s="88"/>
      <c r="C6" s="89"/>
      <c r="D6" s="84" t="s">
        <v>27</v>
      </c>
      <c r="E6" s="85"/>
      <c r="F6" s="82" t="s">
        <v>28</v>
      </c>
      <c r="G6" s="86"/>
      <c r="H6" s="12" t="s">
        <v>39</v>
      </c>
      <c r="I6" s="12"/>
      <c r="J6" s="61"/>
      <c r="K6" s="82" t="s">
        <v>10</v>
      </c>
      <c r="L6" s="83"/>
      <c r="M6" s="12" t="s">
        <v>9</v>
      </c>
      <c r="N6" s="54">
        <v>998</v>
      </c>
    </row>
    <row r="7" spans="1:14" s="2" customFormat="1" ht="51" x14ac:dyDescent="0.2">
      <c r="A7" s="13" t="s">
        <v>24</v>
      </c>
      <c r="B7" s="14" t="s">
        <v>14</v>
      </c>
      <c r="C7" s="15" t="s">
        <v>15</v>
      </c>
      <c r="D7" s="16" t="s">
        <v>6</v>
      </c>
      <c r="E7" s="17" t="s">
        <v>5</v>
      </c>
      <c r="F7" s="16" t="s">
        <v>29</v>
      </c>
      <c r="G7" s="18" t="s">
        <v>30</v>
      </c>
      <c r="H7" s="19" t="s">
        <v>31</v>
      </c>
      <c r="I7" s="19" t="s">
        <v>26</v>
      </c>
      <c r="J7" s="59" t="s">
        <v>25</v>
      </c>
      <c r="K7" s="16" t="s">
        <v>23</v>
      </c>
      <c r="L7" s="18" t="s">
        <v>7</v>
      </c>
      <c r="M7" s="19" t="s">
        <v>11</v>
      </c>
      <c r="N7" s="17" t="s">
        <v>12</v>
      </c>
    </row>
    <row r="8" spans="1:14" x14ac:dyDescent="0.2">
      <c r="A8" s="44">
        <v>0</v>
      </c>
      <c r="B8" s="45">
        <v>0</v>
      </c>
      <c r="C8" s="46">
        <v>25</v>
      </c>
      <c r="D8" s="21"/>
      <c r="E8" s="22"/>
      <c r="F8" s="37">
        <v>0</v>
      </c>
      <c r="G8" s="62">
        <f t="shared" ref="G8:G16" si="0">$J$8*(1-A8)*EXP($B$19/($B$22*$B$23)*A8^2)</f>
        <v>161.10000000000002</v>
      </c>
      <c r="H8" s="1">
        <f>G8/J8</f>
        <v>1</v>
      </c>
      <c r="I8" s="60">
        <f>E28/H38</f>
        <v>161.10000000000002</v>
      </c>
      <c r="J8" s="51">
        <f>160.8+0.3</f>
        <v>161.10000000000002</v>
      </c>
      <c r="K8" s="21"/>
      <c r="L8" s="23"/>
      <c r="M8" s="50"/>
      <c r="N8" s="42">
        <v>65</v>
      </c>
    </row>
    <row r="9" spans="1:14" x14ac:dyDescent="0.2">
      <c r="A9" s="34">
        <v>0.125</v>
      </c>
      <c r="B9" s="35">
        <v>3.47</v>
      </c>
      <c r="C9" s="36">
        <v>21.53</v>
      </c>
      <c r="D9" s="37">
        <v>76.167400000000001</v>
      </c>
      <c r="E9" s="38">
        <v>392.01479999999998</v>
      </c>
      <c r="F9" s="37">
        <f t="shared" ref="F9:F15" si="1">$J$16*A9*EXP($B$19/($B$22*$B$23)*(1-A9)^2)</f>
        <v>7.6763060761663384</v>
      </c>
      <c r="G9" s="39">
        <f t="shared" si="0"/>
        <v>140.85723582125146</v>
      </c>
      <c r="H9" s="80">
        <f t="shared" ref="H9:H16" si="2">G9/J9</f>
        <v>0.87597783470927526</v>
      </c>
      <c r="I9" s="60">
        <f>E29/H39</f>
        <v>148.53354189741779</v>
      </c>
      <c r="J9" s="41">
        <f>160.5+0.3</f>
        <v>160.80000000000001</v>
      </c>
      <c r="K9" s="37">
        <v>43.066800000000001</v>
      </c>
      <c r="L9" s="39">
        <v>363.69580000000002</v>
      </c>
      <c r="M9" s="40"/>
      <c r="N9" s="42">
        <v>68</v>
      </c>
    </row>
    <row r="10" spans="1:14" x14ac:dyDescent="0.2">
      <c r="A10" s="34">
        <v>0.25</v>
      </c>
      <c r="B10" s="35">
        <v>6.8</v>
      </c>
      <c r="C10" s="36">
        <v>18.16</v>
      </c>
      <c r="D10" s="37">
        <v>135.4417</v>
      </c>
      <c r="E10" s="38">
        <v>324.9914</v>
      </c>
      <c r="F10" s="37">
        <f t="shared" si="1"/>
        <v>15.502434074194463</v>
      </c>
      <c r="G10" s="39">
        <f t="shared" si="0"/>
        <v>120.46449830429087</v>
      </c>
      <c r="H10" s="80">
        <f t="shared" si="2"/>
        <v>0.72612717482996303</v>
      </c>
      <c r="I10" s="60">
        <f>E30/H40</f>
        <v>135.96693237848532</v>
      </c>
      <c r="J10" s="41">
        <f>165.6+0.3</f>
        <v>165.9</v>
      </c>
      <c r="K10" s="37">
        <v>77.704599999999999</v>
      </c>
      <c r="L10" s="39">
        <v>338.05130000000003</v>
      </c>
      <c r="M10" s="40"/>
      <c r="N10" s="42">
        <v>76</v>
      </c>
    </row>
    <row r="11" spans="1:14" x14ac:dyDescent="0.2">
      <c r="A11" s="34">
        <v>0.375</v>
      </c>
      <c r="B11" s="35">
        <v>10.1</v>
      </c>
      <c r="C11" s="36">
        <v>14.9</v>
      </c>
      <c r="D11" s="37">
        <v>200.31290000000001</v>
      </c>
      <c r="E11" s="38">
        <v>267.69380000000001</v>
      </c>
      <c r="F11" s="37">
        <f t="shared" si="1"/>
        <v>23.44552180844838</v>
      </c>
      <c r="G11" s="39">
        <f t="shared" si="0"/>
        <v>100.01281949610618</v>
      </c>
      <c r="H11" s="80">
        <f t="shared" si="2"/>
        <v>0.62042691995103083</v>
      </c>
      <c r="I11" s="60">
        <f>E31/H41</f>
        <v>123.45834130455454</v>
      </c>
      <c r="J11" s="41">
        <f>160.9+0.3</f>
        <v>161.20000000000002</v>
      </c>
      <c r="K11" s="37">
        <v>122.7308</v>
      </c>
      <c r="L11" s="39">
        <v>297.77569999999997</v>
      </c>
      <c r="M11" s="40"/>
      <c r="N11" s="42">
        <v>76</v>
      </c>
    </row>
    <row r="12" spans="1:14" x14ac:dyDescent="0.2">
      <c r="A12" s="34">
        <v>0.5</v>
      </c>
      <c r="B12" s="35">
        <v>13.26</v>
      </c>
      <c r="C12" s="36">
        <v>11.74</v>
      </c>
      <c r="D12" s="37">
        <v>255.24080000000001</v>
      </c>
      <c r="E12" s="38">
        <v>206.96440000000001</v>
      </c>
      <c r="F12" s="37">
        <f t="shared" si="1"/>
        <v>31.471578530057741</v>
      </c>
      <c r="G12" s="39">
        <f t="shared" si="0"/>
        <v>79.592956062673522</v>
      </c>
      <c r="H12" s="80">
        <f t="shared" si="2"/>
        <v>0.60944070492093039</v>
      </c>
      <c r="I12" s="60">
        <f>E32/H42</f>
        <v>111.06453459273126</v>
      </c>
      <c r="J12" s="41">
        <f>130.3+0.3</f>
        <v>130.60000000000002</v>
      </c>
      <c r="K12" s="37">
        <v>160.38570000000001</v>
      </c>
      <c r="L12" s="39">
        <v>259.17259999999999</v>
      </c>
      <c r="M12" s="40"/>
      <c r="N12" s="42">
        <v>79</v>
      </c>
    </row>
    <row r="13" spans="1:14" x14ac:dyDescent="0.2">
      <c r="A13" s="34">
        <v>0.625</v>
      </c>
      <c r="B13" s="35">
        <v>16.329999999999998</v>
      </c>
      <c r="C13" s="36">
        <v>8.67</v>
      </c>
      <c r="D13" s="37">
        <v>321.73579999999998</v>
      </c>
      <c r="E13" s="38">
        <v>157.25460000000001</v>
      </c>
      <c r="F13" s="37">
        <f t="shared" si="1"/>
        <v>39.545726889521802</v>
      </c>
      <c r="G13" s="39">
        <f t="shared" si="0"/>
        <v>59.29471841979646</v>
      </c>
      <c r="H13" s="80">
        <f t="shared" si="2"/>
        <v>0.46799304198734382</v>
      </c>
      <c r="I13" s="60">
        <f>E33/H43</f>
        <v>98.840445309318255</v>
      </c>
      <c r="J13" s="41">
        <f>126.4+0.3</f>
        <v>126.7</v>
      </c>
      <c r="K13" s="37">
        <v>219.54429999999999</v>
      </c>
      <c r="L13" s="39">
        <v>211.11449999999999</v>
      </c>
      <c r="M13" s="40"/>
      <c r="N13" s="42">
        <v>82</v>
      </c>
    </row>
    <row r="14" spans="1:14" x14ac:dyDescent="0.2">
      <c r="A14" s="34">
        <v>0.75</v>
      </c>
      <c r="B14" s="35">
        <v>19.309999999999999</v>
      </c>
      <c r="C14" s="36">
        <v>5.69</v>
      </c>
      <c r="D14" s="37">
        <v>372.97219999999999</v>
      </c>
      <c r="E14" s="38">
        <v>103.3372</v>
      </c>
      <c r="F14" s="37">
        <f t="shared" si="1"/>
        <v>47.632455257500482</v>
      </c>
      <c r="G14" s="39">
        <f t="shared" si="0"/>
        <v>39.2063128626802</v>
      </c>
      <c r="H14" s="80">
        <f t="shared" si="2"/>
        <v>0.41400541565660187</v>
      </c>
      <c r="I14" s="60">
        <f>E34/H44</f>
        <v>86.838768120180674</v>
      </c>
      <c r="J14" s="41">
        <f>94.4+0.3</f>
        <v>94.7</v>
      </c>
      <c r="K14" s="37">
        <v>268.67219999999998</v>
      </c>
      <c r="L14" s="39">
        <v>135.33789999999999</v>
      </c>
      <c r="M14" s="40"/>
      <c r="N14" s="42">
        <v>86</v>
      </c>
    </row>
    <row r="15" spans="1:14" x14ac:dyDescent="0.2">
      <c r="A15" s="34">
        <v>0.875</v>
      </c>
      <c r="B15" s="35">
        <v>22.19</v>
      </c>
      <c r="C15" s="36">
        <v>2.81</v>
      </c>
      <c r="D15" s="37">
        <v>417.8252</v>
      </c>
      <c r="E15" s="38">
        <v>44.416800000000002</v>
      </c>
      <c r="F15" s="37">
        <f t="shared" si="1"/>
        <v>55.695877851109344</v>
      </c>
      <c r="G15" s="39">
        <f t="shared" si="0"/>
        <v>19.413703435956002</v>
      </c>
      <c r="H15" s="80">
        <f t="shared" si="2"/>
        <v>0.22495600736913096</v>
      </c>
      <c r="I15" s="60">
        <f>E35/H45</f>
        <v>75.109581287065339</v>
      </c>
      <c r="J15" s="41">
        <f>86+0.3</f>
        <v>86.3</v>
      </c>
      <c r="K15" s="37">
        <v>360.3306</v>
      </c>
      <c r="L15" s="39">
        <v>62.171199999999999</v>
      </c>
      <c r="M15" s="40"/>
      <c r="N15" s="42">
        <v>88</v>
      </c>
    </row>
    <row r="16" spans="1:14" ht="16" thickBot="1" x14ac:dyDescent="0.25">
      <c r="A16" s="47">
        <v>1</v>
      </c>
      <c r="B16" s="48">
        <v>25</v>
      </c>
      <c r="C16" s="49">
        <v>0</v>
      </c>
      <c r="D16" s="24"/>
      <c r="E16" s="25"/>
      <c r="F16" s="81">
        <f>$J$16*A16*EXP($B$19/($B$22*$B$23)*(1-A16)^2)</f>
        <v>63.699999999999996</v>
      </c>
      <c r="G16" s="62">
        <f t="shared" si="0"/>
        <v>0</v>
      </c>
      <c r="H16" s="1">
        <f t="shared" si="2"/>
        <v>0</v>
      </c>
      <c r="I16" s="60">
        <f>E36/(1-H46)</f>
        <v>60.726156107946686</v>
      </c>
      <c r="J16" s="53">
        <f>63.4+0.3</f>
        <v>63.699999999999996</v>
      </c>
      <c r="K16" s="24"/>
      <c r="L16" s="26"/>
      <c r="M16" s="52"/>
      <c r="N16" s="55">
        <v>95</v>
      </c>
    </row>
    <row r="17" spans="1:16" ht="17" thickTop="1" thickBo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6" ht="16" thickTop="1" x14ac:dyDescent="0.2">
      <c r="A18" s="3" t="s">
        <v>16</v>
      </c>
      <c r="B18" s="20"/>
      <c r="C18"/>
      <c r="D18"/>
      <c r="E18"/>
      <c r="F18"/>
      <c r="G18"/>
      <c r="H18" t="s">
        <v>45</v>
      </c>
      <c r="I18" t="s">
        <v>44</v>
      </c>
      <c r="J18"/>
      <c r="K18"/>
      <c r="L18"/>
      <c r="M18"/>
    </row>
    <row r="19" spans="1:16" ht="18" thickBot="1" x14ac:dyDescent="0.25">
      <c r="A19" s="58" t="s">
        <v>17</v>
      </c>
      <c r="B19" s="65">
        <v>-116.52500000000001</v>
      </c>
      <c r="D19"/>
      <c r="E19"/>
      <c r="F19"/>
      <c r="G19"/>
      <c r="H19"/>
      <c r="I19"/>
      <c r="J19"/>
      <c r="K19"/>
      <c r="L19"/>
      <c r="M19"/>
    </row>
    <row r="20" spans="1:16" ht="16" thickTop="1" x14ac:dyDescent="0.2">
      <c r="C20"/>
      <c r="D20"/>
      <c r="E20"/>
      <c r="F20"/>
      <c r="G20"/>
      <c r="H20"/>
      <c r="I20"/>
      <c r="J20"/>
      <c r="K20"/>
      <c r="L20"/>
      <c r="M20"/>
    </row>
    <row r="21" spans="1:16" x14ac:dyDescent="0.2">
      <c r="C21"/>
      <c r="D21"/>
      <c r="E21"/>
      <c r="F21"/>
      <c r="G21"/>
      <c r="H21"/>
      <c r="I21"/>
      <c r="J21"/>
      <c r="K21"/>
      <c r="L21"/>
      <c r="M21"/>
    </row>
    <row r="22" spans="1:16" x14ac:dyDescent="0.2">
      <c r="A22" s="63" t="s">
        <v>35</v>
      </c>
      <c r="B22" s="64">
        <v>8.3140000000000001</v>
      </c>
      <c r="C22" s="64" t="s">
        <v>38</v>
      </c>
    </row>
    <row r="23" spans="1:16" x14ac:dyDescent="0.2">
      <c r="A23" s="63" t="s">
        <v>36</v>
      </c>
      <c r="B23" s="64">
        <v>293.14999999999998</v>
      </c>
      <c r="C23" s="64" t="s">
        <v>37</v>
      </c>
      <c r="K23" s="62"/>
      <c r="L23" s="62"/>
    </row>
    <row r="24" spans="1:16" x14ac:dyDescent="0.2">
      <c r="K24" s="62"/>
      <c r="L24" s="62"/>
    </row>
    <row r="25" spans="1:16" x14ac:dyDescent="0.2">
      <c r="E25" s="62"/>
      <c r="F25" s="62"/>
      <c r="K25" s="62"/>
      <c r="L25" s="62"/>
    </row>
    <row r="26" spans="1:16" x14ac:dyDescent="0.2">
      <c r="A26" s="68" t="s">
        <v>46</v>
      </c>
      <c r="B26" s="69"/>
      <c r="C26" s="69"/>
      <c r="D26" s="69"/>
      <c r="E26" s="76"/>
      <c r="F26" s="79"/>
      <c r="G26" s="69"/>
      <c r="H26" s="69"/>
      <c r="I26" s="69"/>
      <c r="J26" s="69"/>
      <c r="K26" s="70"/>
      <c r="L26" s="62"/>
      <c r="M26" s="1" t="s">
        <v>47</v>
      </c>
    </row>
    <row r="27" spans="1:16" x14ac:dyDescent="0.2">
      <c r="A27" s="71"/>
      <c r="E27" s="62"/>
      <c r="F27" s="78"/>
      <c r="K27" s="72"/>
      <c r="L27" s="62"/>
    </row>
    <row r="28" spans="1:16" x14ac:dyDescent="0.2">
      <c r="A28" s="64" t="s">
        <v>41</v>
      </c>
      <c r="B28" s="67">
        <f>EXP($B$19/($B$22*$B$23)*A8^2)</f>
        <v>1</v>
      </c>
      <c r="D28" s="64" t="s">
        <v>40</v>
      </c>
      <c r="E28" s="77">
        <f>(1-A8)*G8*B28</f>
        <v>161.10000000000002</v>
      </c>
      <c r="F28" s="78"/>
      <c r="G28" s="64" t="s">
        <v>42</v>
      </c>
      <c r="H28" s="67">
        <f>EXP($B$19/($B$22*$B$23)*(1-A8)^2)</f>
        <v>0.95331485255803283</v>
      </c>
      <c r="J28" s="64" t="s">
        <v>43</v>
      </c>
      <c r="K28" s="66">
        <f>A8*H28*F8</f>
        <v>0</v>
      </c>
      <c r="L28" s="62"/>
      <c r="M28" s="1" t="s">
        <v>41</v>
      </c>
      <c r="N28" s="80">
        <f>EXP($B$19/($B$22*$B$23)*A8^2)</f>
        <v>1</v>
      </c>
      <c r="P28" s="1" t="s">
        <v>48</v>
      </c>
    </row>
    <row r="29" spans="1:16" x14ac:dyDescent="0.2">
      <c r="A29" s="71"/>
      <c r="B29" s="67">
        <f t="shared" ref="B29:B36" si="3">EXP($B$19/($B$22*$B$23)*A9^2)</f>
        <v>0.99925324693625206</v>
      </c>
      <c r="E29" s="77">
        <f>(1-A9)*G9*B29</f>
        <v>123.15804396774452</v>
      </c>
      <c r="F29" s="78"/>
      <c r="H29" s="67">
        <f t="shared" ref="H29:H36" si="4">EXP($B$19/($B$22*$B$23)*(1-A9)^2)</f>
        <v>0.96405727801147112</v>
      </c>
      <c r="K29" s="66">
        <f>A9*H29*F9</f>
        <v>0.9250498426214796</v>
      </c>
      <c r="L29" s="62"/>
      <c r="N29" s="80">
        <f t="shared" ref="N29:N36" si="5">EXP($B$19/($B$22*$B$23)*A9^2)</f>
        <v>0.99925324693625206</v>
      </c>
    </row>
    <row r="30" spans="1:16" x14ac:dyDescent="0.2">
      <c r="A30" s="71"/>
      <c r="B30" s="67">
        <f t="shared" si="3"/>
        <v>0.99701633192047057</v>
      </c>
      <c r="E30" s="77">
        <f>(1-A10)*G10*B30</f>
        <v>90.078804169487867</v>
      </c>
      <c r="F30" s="78"/>
      <c r="H30" s="67">
        <f t="shared" si="4"/>
        <v>0.97346524798709355</v>
      </c>
      <c r="K30" s="66">
        <f t="shared" ref="K30:K36" si="6">A10*H30*F10</f>
        <v>3.7727702076098204</v>
      </c>
      <c r="N30" s="80">
        <f t="shared" si="5"/>
        <v>0.99701633192047057</v>
      </c>
    </row>
    <row r="31" spans="1:16" x14ac:dyDescent="0.2">
      <c r="A31" s="71"/>
      <c r="B31" s="67">
        <f t="shared" si="3"/>
        <v>0.99329926253115985</v>
      </c>
      <c r="E31" s="77">
        <f t="shared" ref="E31:E35" si="7">(1-A11)*G11*B31</f>
        <v>62.089162405715172</v>
      </c>
      <c r="F31" s="78"/>
      <c r="H31" s="67">
        <f t="shared" si="4"/>
        <v>0.98149751160432774</v>
      </c>
      <c r="K31" s="66">
        <f t="shared" si="6"/>
        <v>8.6293954924714065</v>
      </c>
      <c r="N31" s="80">
        <f t="shared" si="5"/>
        <v>0.99329926253115985</v>
      </c>
    </row>
    <row r="32" spans="1:16" x14ac:dyDescent="0.2">
      <c r="A32" s="71"/>
      <c r="B32" s="67">
        <f t="shared" si="3"/>
        <v>0.98811863516664811</v>
      </c>
      <c r="E32" s="77">
        <f t="shared" si="7"/>
        <v>39.323641556763974</v>
      </c>
      <c r="F32" s="71"/>
      <c r="H32" s="67">
        <f t="shared" si="4"/>
        <v>0.98811863516664811</v>
      </c>
      <c r="K32" s="66">
        <f t="shared" si="6"/>
        <v>15.54882661183032</v>
      </c>
      <c r="N32" s="80">
        <f t="shared" si="5"/>
        <v>0.98811863516664811</v>
      </c>
    </row>
    <row r="33" spans="1:14" x14ac:dyDescent="0.2">
      <c r="A33" s="71"/>
      <c r="B33" s="67">
        <f t="shared" si="3"/>
        <v>0.98149751160432774</v>
      </c>
      <c r="E33" s="77">
        <f t="shared" si="7"/>
        <v>21.824106967616071</v>
      </c>
      <c r="F33" s="71"/>
      <c r="H33" s="67">
        <f t="shared" si="4"/>
        <v>0.99329926253115985</v>
      </c>
      <c r="K33" s="66">
        <f t="shared" si="6"/>
        <v>24.550463347262916</v>
      </c>
      <c r="N33" s="80">
        <f t="shared" si="5"/>
        <v>0.98149751160432774</v>
      </c>
    </row>
    <row r="34" spans="1:14" x14ac:dyDescent="0.2">
      <c r="A34" s="71"/>
      <c r="B34" s="67">
        <f t="shared" si="3"/>
        <v>0.97346524798709355</v>
      </c>
      <c r="E34" s="77">
        <f t="shared" si="7"/>
        <v>9.5414957683821395</v>
      </c>
      <c r="F34" s="71"/>
      <c r="H34" s="67">
        <f t="shared" si="4"/>
        <v>0.99701633192047057</v>
      </c>
      <c r="K34" s="66">
        <f t="shared" si="6"/>
        <v>35.617751865899301</v>
      </c>
      <c r="N34" s="80">
        <f t="shared" si="5"/>
        <v>0.97346524798709355</v>
      </c>
    </row>
    <row r="35" spans="1:14" x14ac:dyDescent="0.2">
      <c r="A35" s="71"/>
      <c r="B35" s="67">
        <f t="shared" si="3"/>
        <v>0.96405727801147112</v>
      </c>
      <c r="E35" s="77">
        <f t="shared" si="7"/>
        <v>2.3394902613237107</v>
      </c>
      <c r="F35" s="71"/>
      <c r="H35" s="67">
        <f t="shared" si="4"/>
        <v>0.99925324693625206</v>
      </c>
      <c r="K35" s="66">
        <f>A15*H35*F15</f>
        <v>48.697500935725159</v>
      </c>
      <c r="N35" s="80">
        <f t="shared" si="5"/>
        <v>0.96405727801147112</v>
      </c>
    </row>
    <row r="36" spans="1:14" x14ac:dyDescent="0.2">
      <c r="A36" s="73"/>
      <c r="B36" s="67">
        <f t="shared" si="3"/>
        <v>0.95331485255803283</v>
      </c>
      <c r="C36" s="74"/>
      <c r="D36" s="74"/>
      <c r="E36" s="77">
        <f>(A16)*F16*B36</f>
        <v>60.726156107946686</v>
      </c>
      <c r="F36" s="73"/>
      <c r="G36" s="74"/>
      <c r="H36" s="67">
        <f t="shared" si="4"/>
        <v>1</v>
      </c>
      <c r="I36" s="74"/>
      <c r="J36" s="74"/>
      <c r="K36" s="66">
        <f t="shared" si="6"/>
        <v>63.699999999999996</v>
      </c>
      <c r="N36" s="80">
        <f t="shared" si="5"/>
        <v>0.95331485255803283</v>
      </c>
    </row>
    <row r="38" spans="1:14" x14ac:dyDescent="0.2">
      <c r="H38" s="50">
        <v>1</v>
      </c>
    </row>
    <row r="39" spans="1:14" x14ac:dyDescent="0.2">
      <c r="H39" s="50">
        <f>E29/(F9+G9)</f>
        <v>0.82915981396849447</v>
      </c>
    </row>
    <row r="40" spans="1:14" x14ac:dyDescent="0.2">
      <c r="H40" s="50">
        <f>E30/(F10+G10)</f>
        <v>0.66250523266009531</v>
      </c>
    </row>
    <row r="41" spans="1:14" x14ac:dyDescent="0.2">
      <c r="H41" s="50">
        <f>E31/(F11+G11)</f>
        <v>0.50291589656586955</v>
      </c>
    </row>
    <row r="42" spans="1:14" x14ac:dyDescent="0.2">
      <c r="H42" s="50">
        <f>E32/(F12+G12)</f>
        <v>0.35406119244961526</v>
      </c>
    </row>
    <row r="43" spans="1:14" x14ac:dyDescent="0.2">
      <c r="H43" s="50">
        <f>E33/(F13+G13)</f>
        <v>0.22080138246360762</v>
      </c>
    </row>
    <row r="44" spans="1:14" x14ac:dyDescent="0.2">
      <c r="H44" s="50">
        <f>E34/(F14+G14)</f>
        <v>0.1098759917365153</v>
      </c>
    </row>
    <row r="45" spans="1:14" x14ac:dyDescent="0.2">
      <c r="H45" s="50">
        <f>E35/(F15+G15)</f>
        <v>3.1147694092212914E-2</v>
      </c>
    </row>
    <row r="46" spans="1:14" ht="16" thickBot="1" x14ac:dyDescent="0.25">
      <c r="H46" s="75">
        <v>0</v>
      </c>
    </row>
  </sheetData>
  <mergeCells count="4">
    <mergeCell ref="K6:L6"/>
    <mergeCell ref="D6:E6"/>
    <mergeCell ref="F6:G6"/>
    <mergeCell ref="A6:C6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p(x) und T(x)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Sascha Berens</cp:lastModifiedBy>
  <dcterms:created xsi:type="dcterms:W3CDTF">2015-07-11T10:12:06Z</dcterms:created>
  <dcterms:modified xsi:type="dcterms:W3CDTF">2025-05-29T12:23:59Z</dcterms:modified>
</cp:coreProperties>
</file>