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PyCharmMiscProject/Biochemie/"/>
    </mc:Choice>
  </mc:AlternateContent>
  <xr:revisionPtr revIDLastSave="0" documentId="13_ncr:1_{118C8BC1-3EEE-064B-9043-048FCADBC6BF}" xr6:coauthVersionLast="47" xr6:coauthVersionMax="47" xr10:uidLastSave="{00000000-0000-0000-0000-000000000000}"/>
  <bookViews>
    <workbookView xWindow="0" yWindow="500" windowWidth="38400" windowHeight="19840" xr2:uid="{AC176943-F3CB-8341-93E5-C06367DD4AB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8" i="1" l="1"/>
  <c r="AL18" i="1"/>
  <c r="AK21" i="1"/>
  <c r="AL21" i="1" l="1"/>
  <c r="AK22" i="1"/>
  <c r="AL22" i="1" s="1"/>
  <c r="AK23" i="1"/>
  <c r="AL23" i="1" s="1"/>
  <c r="AK24" i="1"/>
  <c r="AL24" i="1" s="1"/>
  <c r="AK19" i="1"/>
  <c r="AL19" i="1" s="1"/>
  <c r="AK20" i="1"/>
  <c r="AL20" i="1" s="1"/>
  <c r="I5" i="1"/>
  <c r="I6" i="1"/>
  <c r="T6" i="1"/>
  <c r="I7" i="1"/>
  <c r="T7" i="1"/>
  <c r="I8" i="1"/>
  <c r="T8" i="1"/>
  <c r="I9" i="1"/>
  <c r="T9" i="1"/>
  <c r="I10" i="1"/>
  <c r="T10" i="1"/>
  <c r="T11" i="1"/>
  <c r="T12" i="1"/>
</calcChain>
</file>

<file path=xl/sharedStrings.xml><?xml version="1.0" encoding="utf-8"?>
<sst xmlns="http://schemas.openxmlformats.org/spreadsheetml/2006/main" count="34" uniqueCount="26">
  <si>
    <t>Marker</t>
  </si>
  <si>
    <t>Theorie bp</t>
  </si>
  <si>
    <t xml:space="preserve">theorie bp </t>
  </si>
  <si>
    <t>Hindiii</t>
  </si>
  <si>
    <t>PUC..</t>
  </si>
  <si>
    <t>log</t>
  </si>
  <si>
    <t>Tabelle von pUC und HindIII</t>
  </si>
  <si>
    <t>pUC</t>
  </si>
  <si>
    <t>HindIII</t>
  </si>
  <si>
    <t>migration distance /px</t>
  </si>
  <si>
    <t>log10(bp)</t>
  </si>
  <si>
    <t>Sample 1</t>
  </si>
  <si>
    <t>Sample 2</t>
  </si>
  <si>
    <t>Sample 3</t>
  </si>
  <si>
    <t>Sample 4</t>
  </si>
  <si>
    <t>Gemessene Daten</t>
  </si>
  <si>
    <t>Bestimmung der Basenpaare des Gels:</t>
  </si>
  <si>
    <t>Bp</t>
  </si>
  <si>
    <t>Migration distance (px)</t>
  </si>
  <si>
    <t>bp</t>
  </si>
  <si>
    <t>Theorie</t>
  </si>
  <si>
    <t>Praxis</t>
  </si>
  <si>
    <t>px</t>
  </si>
  <si>
    <t>HindIII/Lambda</t>
  </si>
  <si>
    <t>Lane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</si>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</sst>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Gemeinsame</a:t>
            </a:r>
            <a:r>
              <a:rPr lang="en-US" sz="1200" baseline="0"/>
              <a:t> Regression für HindIII und pUC Daten</a:t>
            </a:r>
            <a:endParaRPr lang="en-US" sz="1200"/>
          </a:p>
        </c:rich>
      </c:tx>
      <c:layout>
        <c:manualLayout>
          <c:xMode val="edge"/>
          <c:yMode val="edge"/>
          <c:x val="0.181629609304563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0462535983028"/>
          <c:y val="0.11931893279289855"/>
          <c:w val="0.83069488775788525"/>
          <c:h val="0.719141373734435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>
                    <a:lumMod val="20000"/>
                    <a:lumOff val="80000"/>
                  </a:schemeClr>
                </a:solidFill>
                <a:ln w="9525">
                  <a:solidFill>
                    <a:schemeClr val="accent2">
                      <a:lumMod val="20000"/>
                      <a:lumOff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09C-3E4E-9D55-EF1865B3601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>
                    <a:lumMod val="20000"/>
                    <a:lumOff val="80000"/>
                  </a:schemeClr>
                </a:solidFill>
                <a:ln w="9525">
                  <a:solidFill>
                    <a:schemeClr val="accent2">
                      <a:lumMod val="20000"/>
                      <a:lumOff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09C-3E4E-9D55-EF1865B36010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>
                    <a:lumMod val="20000"/>
                    <a:lumOff val="80000"/>
                  </a:schemeClr>
                </a:solidFill>
                <a:ln w="9525">
                  <a:solidFill>
                    <a:schemeClr val="accent2">
                      <a:lumMod val="20000"/>
                      <a:lumOff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09C-3E4E-9D55-EF1865B36010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>
                    <a:lumMod val="20000"/>
                    <a:lumOff val="80000"/>
                  </a:schemeClr>
                </a:solidFill>
                <a:ln w="9525">
                  <a:solidFill>
                    <a:schemeClr val="accent2">
                      <a:lumMod val="20000"/>
                      <a:lumOff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09C-3E4E-9D55-EF1865B36010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0"/>
            <c:backward val="50"/>
            <c:dispRSqr val="1"/>
            <c:dispEq val="1"/>
            <c:trendlineLbl>
              <c:layout>
                <c:manualLayout>
                  <c:x val="6.9599840784820731E-3"/>
                  <c:y val="-0.234467792570042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Tabelle1!$X$7:$X$18</c:f>
              <c:numCache>
                <c:formatCode>General</c:formatCode>
                <c:ptCount val="12"/>
                <c:pt idx="0">
                  <c:v>894</c:v>
                </c:pt>
                <c:pt idx="1">
                  <c:v>1006</c:v>
                </c:pt>
                <c:pt idx="2">
                  <c:v>1070</c:v>
                </c:pt>
                <c:pt idx="3">
                  <c:v>1206</c:v>
                </c:pt>
                <c:pt idx="4">
                  <c:v>1212</c:v>
                </c:pt>
                <c:pt idx="5">
                  <c:v>354</c:v>
                </c:pt>
                <c:pt idx="6">
                  <c:v>406</c:v>
                </c:pt>
                <c:pt idx="7">
                  <c:v>476</c:v>
                </c:pt>
                <c:pt idx="8">
                  <c:v>544</c:v>
                </c:pt>
                <c:pt idx="9">
                  <c:v>682</c:v>
                </c:pt>
                <c:pt idx="10">
                  <c:v>716</c:v>
                </c:pt>
                <c:pt idx="11">
                  <c:v>1026</c:v>
                </c:pt>
              </c:numCache>
            </c:numRef>
          </c:xVal>
          <c:yVal>
            <c:numRef>
              <c:f>Tabelle1!$Z$7:$Z$18</c:f>
              <c:numCache>
                <c:formatCode>0.00</c:formatCode>
                <c:ptCount val="12"/>
                <c:pt idx="0">
                  <c:v>2.9590413923210899</c:v>
                </c:pt>
                <c:pt idx="1">
                  <c:v>2.7323937598229686</c:v>
                </c:pt>
                <c:pt idx="2">
                  <c:v>2.6294095991027189</c:v>
                </c:pt>
                <c:pt idx="3">
                  <c:v>2.6117233080073419</c:v>
                </c:pt>
                <c:pt idx="4">
                  <c:v>2.3710678622717363</c:v>
                </c:pt>
                <c:pt idx="5">
                  <c:v>4.3641756327706194</c:v>
                </c:pt>
                <c:pt idx="6">
                  <c:v>3.9738664498353784</c:v>
                </c:pt>
                <c:pt idx="7">
                  <c:v>3.8167051836665151</c:v>
                </c:pt>
                <c:pt idx="8">
                  <c:v>3.6395860866734266</c:v>
                </c:pt>
                <c:pt idx="9">
                  <c:v>3.3658622154025548</c:v>
                </c:pt>
                <c:pt idx="10">
                  <c:v>3.3068537486930087</c:v>
                </c:pt>
                <c:pt idx="11">
                  <c:v>2.7512791039833422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C-3E4E-9D55-EF1865B36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822064"/>
        <c:axId val="1712691824"/>
      </c:scatterChart>
      <c:valAx>
        <c:axId val="1712822064"/>
        <c:scaling>
          <c:orientation val="minMax"/>
          <c:max val="1300"/>
          <c:min val="2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aseline="0"/>
                  <a:t>Lauflänge /px</a:t>
                </a:r>
              </a:p>
            </c:rich>
          </c:tx>
          <c:layout>
            <c:manualLayout>
              <c:xMode val="edge"/>
              <c:yMode val="edge"/>
              <c:x val="0.44536627393099704"/>
              <c:y val="0.92238829727513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2691824"/>
        <c:crosses val="autoZero"/>
        <c:crossBetween val="midCat"/>
      </c:valAx>
      <c:valAx>
        <c:axId val="171269182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log10(bp) /-</a:t>
                </a:r>
              </a:p>
            </c:rich>
          </c:tx>
          <c:layout>
            <c:manualLayout>
              <c:xMode val="edge"/>
              <c:yMode val="edge"/>
              <c:x val="8.3334299369612116E-3"/>
              <c:y val="0.36466059625002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282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249494</xdr:colOff>
      <xdr:row>22</xdr:row>
      <xdr:rowOff>63691</xdr:rowOff>
    </xdr:from>
    <xdr:to>
      <xdr:col>26</xdr:col>
      <xdr:colOff>485946</xdr:colOff>
      <xdr:row>36</xdr:row>
      <xdr:rowOff>22360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56D7192-2F83-0212-6F9D-D3F786C3E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130B-358F-CC48-9C82-1A8116C4E4B1}">
  <dimension ref="A3:AR30"/>
  <sheetViews>
    <sheetView tabSelected="1" topLeftCell="U1" zoomScale="117" zoomScaleNormal="62" workbookViewId="0">
      <selection activeCell="AD15" sqref="AD15"/>
    </sheetView>
  </sheetViews>
  <sheetFormatPr baseColWidth="10" defaultRowHeight="16" x14ac:dyDescent="0.2"/>
  <cols>
    <col min="1" max="3" width="10.83203125" style="2"/>
    <col min="4" max="4" width="10.83203125" style="2" customWidth="1"/>
    <col min="5" max="23" width="10.83203125" style="2"/>
    <col min="24" max="24" width="24.6640625" style="2" customWidth="1"/>
    <col min="25" max="34" width="10.83203125" style="2"/>
    <col min="35" max="36" width="10.83203125" style="2" customWidth="1"/>
    <col min="37" max="37" width="10.83203125" style="2"/>
    <col min="38" max="38" width="10.33203125" style="2" customWidth="1"/>
    <col min="39" max="39" width="10.83203125" style="2"/>
    <col min="40" max="40" width="9.5" style="2" customWidth="1"/>
    <col min="41" max="41" width="14.33203125" style="2" customWidth="1"/>
    <col min="42" max="16384" width="10.83203125" style="2"/>
  </cols>
  <sheetData>
    <row r="3" spans="1:44" x14ac:dyDescent="0.2">
      <c r="A3" s="2" t="s">
        <v>0</v>
      </c>
      <c r="C3" s="2" t="s">
        <v>4</v>
      </c>
      <c r="H3" s="9"/>
    </row>
    <row r="4" spans="1:44" x14ac:dyDescent="0.2">
      <c r="H4" s="1" t="s">
        <v>2</v>
      </c>
      <c r="I4" s="1" t="s">
        <v>5</v>
      </c>
      <c r="L4" s="2" t="s">
        <v>0</v>
      </c>
      <c r="M4" s="2" t="s">
        <v>3</v>
      </c>
      <c r="X4" s="21" t="s">
        <v>6</v>
      </c>
      <c r="Y4" s="21"/>
      <c r="Z4" s="21"/>
      <c r="AG4" s="2" t="s">
        <v>15</v>
      </c>
    </row>
    <row r="5" spans="1:44" x14ac:dyDescent="0.2">
      <c r="A5" s="1">
        <v>1</v>
      </c>
      <c r="B5" s="1">
        <v>895</v>
      </c>
      <c r="C5" s="10">
        <v>76289</v>
      </c>
      <c r="D5" s="1">
        <v>49</v>
      </c>
      <c r="E5" s="1">
        <v>255</v>
      </c>
      <c r="F5" s="1">
        <v>90</v>
      </c>
      <c r="G5" s="1">
        <v>894</v>
      </c>
      <c r="H5" s="11">
        <v>910</v>
      </c>
      <c r="I5" s="8">
        <f>LOG10(H5)</f>
        <v>2.9590413923210934</v>
      </c>
      <c r="S5" s="1" t="s">
        <v>1</v>
      </c>
      <c r="T5" s="1" t="s">
        <v>5</v>
      </c>
      <c r="AG5" s="21" t="s">
        <v>11</v>
      </c>
      <c r="AH5" s="1">
        <v>1</v>
      </c>
      <c r="AI5" s="1">
        <v>631</v>
      </c>
      <c r="AJ5" s="10">
        <v>99217</v>
      </c>
      <c r="AK5" s="1">
        <v>63</v>
      </c>
      <c r="AL5" s="1">
        <v>255</v>
      </c>
      <c r="AM5" s="1">
        <v>-90</v>
      </c>
    </row>
    <row r="6" spans="1:44" x14ac:dyDescent="0.2">
      <c r="A6" s="1">
        <v>2</v>
      </c>
      <c r="B6" s="1">
        <v>1007</v>
      </c>
      <c r="C6" s="10">
        <v>77300</v>
      </c>
      <c r="D6" s="1">
        <v>46</v>
      </c>
      <c r="E6" s="1">
        <v>255</v>
      </c>
      <c r="F6" s="1">
        <v>90</v>
      </c>
      <c r="G6" s="1">
        <v>1006</v>
      </c>
      <c r="H6" s="1">
        <v>540</v>
      </c>
      <c r="I6" s="8">
        <f t="shared" ref="I6:I10" si="0">LOG10(H6)</f>
        <v>2.7323937598229686</v>
      </c>
      <c r="L6" s="1">
        <v>13</v>
      </c>
      <c r="M6" s="1">
        <v>355</v>
      </c>
      <c r="N6" s="10">
        <v>105938</v>
      </c>
      <c r="O6" s="1">
        <v>60</v>
      </c>
      <c r="P6" s="1">
        <v>255</v>
      </c>
      <c r="Q6" s="1">
        <v>-90</v>
      </c>
      <c r="R6" s="1">
        <v>354</v>
      </c>
      <c r="S6" s="1">
        <v>23130</v>
      </c>
      <c r="T6" s="8">
        <f>LOG10(S6)</f>
        <v>4.3641756327706194</v>
      </c>
      <c r="X6" s="1" t="s">
        <v>9</v>
      </c>
      <c r="Y6" s="1" t="s">
        <v>19</v>
      </c>
      <c r="Z6" s="1" t="s">
        <v>10</v>
      </c>
      <c r="AG6" s="21"/>
      <c r="AH6" s="1">
        <v>2</v>
      </c>
      <c r="AI6" s="1">
        <v>941</v>
      </c>
      <c r="AJ6" s="10">
        <v>97111</v>
      </c>
      <c r="AK6" s="1">
        <v>63</v>
      </c>
      <c r="AL6" s="1">
        <v>255</v>
      </c>
      <c r="AM6" s="1">
        <v>-90</v>
      </c>
    </row>
    <row r="7" spans="1:44" x14ac:dyDescent="0.2">
      <c r="A7" s="1">
        <v>3</v>
      </c>
      <c r="B7" s="1">
        <v>1071</v>
      </c>
      <c r="C7" s="10">
        <v>75357</v>
      </c>
      <c r="D7" s="1">
        <v>49</v>
      </c>
      <c r="E7" s="1">
        <v>255</v>
      </c>
      <c r="F7" s="1">
        <v>-90</v>
      </c>
      <c r="G7" s="1">
        <v>1070</v>
      </c>
      <c r="H7" s="1">
        <v>426</v>
      </c>
      <c r="I7" s="8">
        <f t="shared" si="0"/>
        <v>2.6294095991027189</v>
      </c>
      <c r="L7" s="1">
        <v>14</v>
      </c>
      <c r="M7" s="1">
        <v>407</v>
      </c>
      <c r="N7" s="10">
        <v>123661</v>
      </c>
      <c r="O7" s="1">
        <v>60</v>
      </c>
      <c r="P7" s="1">
        <v>255</v>
      </c>
      <c r="Q7" s="1">
        <v>-90</v>
      </c>
      <c r="R7" s="1">
        <v>406</v>
      </c>
      <c r="S7" s="1">
        <v>9416</v>
      </c>
      <c r="T7" s="8">
        <f t="shared" ref="T7:T12" si="1">LOG10(S7)</f>
        <v>3.9738664498353784</v>
      </c>
      <c r="W7" s="2" t="s">
        <v>7</v>
      </c>
      <c r="X7" s="4">
        <v>894</v>
      </c>
      <c r="Y7" s="13">
        <v>910</v>
      </c>
      <c r="Z7" s="5">
        <v>2.9590413923210899</v>
      </c>
      <c r="AG7" s="21"/>
      <c r="AH7" s="1">
        <v>3</v>
      </c>
      <c r="AI7" s="1">
        <v>1161</v>
      </c>
      <c r="AJ7" s="10">
        <v>86693</v>
      </c>
      <c r="AK7" s="1">
        <v>34</v>
      </c>
      <c r="AL7" s="1">
        <v>255</v>
      </c>
      <c r="AM7" s="1">
        <v>-90</v>
      </c>
    </row>
    <row r="8" spans="1:44" x14ac:dyDescent="0.2">
      <c r="A8" s="1">
        <v>4</v>
      </c>
      <c r="B8" s="1">
        <v>1207</v>
      </c>
      <c r="C8" s="10">
        <v>75137</v>
      </c>
      <c r="D8" s="1">
        <v>32</v>
      </c>
      <c r="E8" s="1">
        <v>255</v>
      </c>
      <c r="F8" s="1">
        <v>90</v>
      </c>
      <c r="G8" s="1">
        <v>1206</v>
      </c>
      <c r="H8" s="1">
        <v>409</v>
      </c>
      <c r="I8" s="8">
        <f t="shared" si="0"/>
        <v>2.6117233080073419</v>
      </c>
      <c r="L8" s="1">
        <v>15</v>
      </c>
      <c r="M8" s="1">
        <v>477</v>
      </c>
      <c r="N8" s="10">
        <v>125442</v>
      </c>
      <c r="O8" s="1">
        <v>57</v>
      </c>
      <c r="P8" s="1">
        <v>255</v>
      </c>
      <c r="Q8" s="1">
        <v>90</v>
      </c>
      <c r="R8" s="1">
        <v>476</v>
      </c>
      <c r="S8" s="1">
        <v>6557</v>
      </c>
      <c r="T8" s="8">
        <f t="shared" si="1"/>
        <v>3.8167051836665151</v>
      </c>
      <c r="X8" s="14">
        <v>1006</v>
      </c>
      <c r="Y8" s="14">
        <v>540</v>
      </c>
      <c r="Z8" s="15">
        <v>2.7323937598229686</v>
      </c>
      <c r="AG8" s="21" t="s">
        <v>12</v>
      </c>
      <c r="AH8" s="1">
        <v>4</v>
      </c>
      <c r="AI8" s="1">
        <v>433</v>
      </c>
      <c r="AJ8" s="10">
        <v>84492</v>
      </c>
      <c r="AK8" s="1">
        <v>57</v>
      </c>
      <c r="AL8" s="1">
        <v>153</v>
      </c>
      <c r="AM8" s="1">
        <v>-90</v>
      </c>
    </row>
    <row r="9" spans="1:44" x14ac:dyDescent="0.2">
      <c r="A9" s="1">
        <v>5</v>
      </c>
      <c r="B9" s="1">
        <v>1213</v>
      </c>
      <c r="C9" s="10">
        <v>71262</v>
      </c>
      <c r="D9" s="1">
        <v>30</v>
      </c>
      <c r="E9" s="1">
        <v>255</v>
      </c>
      <c r="F9" s="1">
        <v>-90</v>
      </c>
      <c r="G9" s="1">
        <v>1212</v>
      </c>
      <c r="H9" s="1">
        <v>235</v>
      </c>
      <c r="I9" s="8">
        <f t="shared" si="0"/>
        <v>2.3710678622717363</v>
      </c>
      <c r="L9" s="1">
        <v>16</v>
      </c>
      <c r="M9" s="1">
        <v>545</v>
      </c>
      <c r="N9" s="10">
        <v>127270</v>
      </c>
      <c r="O9" s="1">
        <v>59</v>
      </c>
      <c r="P9" s="1">
        <v>255</v>
      </c>
      <c r="Q9" s="1">
        <v>90</v>
      </c>
      <c r="R9" s="1">
        <v>544</v>
      </c>
      <c r="S9" s="1">
        <v>4361</v>
      </c>
      <c r="T9" s="8">
        <f t="shared" si="1"/>
        <v>3.6395860866734266</v>
      </c>
      <c r="X9" s="4">
        <v>1070</v>
      </c>
      <c r="Y9" s="4">
        <v>426</v>
      </c>
      <c r="Z9" s="5">
        <v>2.6294095991027189</v>
      </c>
      <c r="AG9" s="21"/>
      <c r="AH9" s="1">
        <v>5</v>
      </c>
      <c r="AI9" s="1">
        <v>617</v>
      </c>
      <c r="AJ9" s="10">
        <v>125494</v>
      </c>
      <c r="AK9" s="1">
        <v>60</v>
      </c>
      <c r="AL9" s="1">
        <v>255</v>
      </c>
      <c r="AM9" s="1">
        <v>-90</v>
      </c>
    </row>
    <row r="10" spans="1:44" x14ac:dyDescent="0.2">
      <c r="A10" s="1"/>
      <c r="B10" s="1"/>
      <c r="C10" s="1"/>
      <c r="D10" s="1"/>
      <c r="E10" s="1"/>
      <c r="F10" s="1"/>
      <c r="G10" s="1"/>
      <c r="H10" s="1">
        <v>166</v>
      </c>
      <c r="I10" s="8">
        <f t="shared" si="0"/>
        <v>2.220108088040055</v>
      </c>
      <c r="L10" s="1">
        <v>17</v>
      </c>
      <c r="M10" s="1">
        <v>683</v>
      </c>
      <c r="N10" s="10">
        <v>122611</v>
      </c>
      <c r="O10" s="1">
        <v>58</v>
      </c>
      <c r="P10" s="1">
        <v>255</v>
      </c>
      <c r="Q10" s="1">
        <v>90</v>
      </c>
      <c r="R10" s="1">
        <v>682</v>
      </c>
      <c r="S10" s="1">
        <v>2322</v>
      </c>
      <c r="T10" s="8">
        <f t="shared" si="1"/>
        <v>3.3658622154025548</v>
      </c>
      <c r="X10" s="4">
        <v>1206</v>
      </c>
      <c r="Y10" s="4">
        <v>409</v>
      </c>
      <c r="Z10" s="5">
        <v>2.6117233080073419</v>
      </c>
      <c r="AG10" s="1" t="s">
        <v>13</v>
      </c>
      <c r="AH10" s="1">
        <v>6</v>
      </c>
      <c r="AI10" s="1">
        <v>687</v>
      </c>
      <c r="AJ10" s="10">
        <v>94639</v>
      </c>
      <c r="AK10" s="1">
        <v>66</v>
      </c>
      <c r="AL10" s="1">
        <v>116</v>
      </c>
      <c r="AM10" s="1">
        <v>-90</v>
      </c>
    </row>
    <row r="11" spans="1:44" x14ac:dyDescent="0.2">
      <c r="L11" s="1">
        <v>18</v>
      </c>
      <c r="M11" s="1">
        <v>717</v>
      </c>
      <c r="N11" s="10">
        <v>123141</v>
      </c>
      <c r="O11" s="1">
        <v>58</v>
      </c>
      <c r="P11" s="1">
        <v>255</v>
      </c>
      <c r="Q11" s="1">
        <v>90</v>
      </c>
      <c r="R11" s="1">
        <v>716</v>
      </c>
      <c r="S11" s="1">
        <v>2027</v>
      </c>
      <c r="T11" s="8">
        <f t="shared" si="1"/>
        <v>3.3068537486930087</v>
      </c>
      <c r="X11" s="4">
        <v>1212</v>
      </c>
      <c r="Y11" s="4">
        <v>235</v>
      </c>
      <c r="Z11" s="5">
        <v>2.3710678622717363</v>
      </c>
      <c r="AG11" s="1" t="s">
        <v>14</v>
      </c>
      <c r="AH11" s="1">
        <v>7</v>
      </c>
      <c r="AI11" s="1">
        <v>317</v>
      </c>
      <c r="AJ11" s="10">
        <v>106565</v>
      </c>
      <c r="AK11" s="1">
        <v>88</v>
      </c>
      <c r="AL11" s="1">
        <v>199</v>
      </c>
      <c r="AM11" s="1">
        <v>-90</v>
      </c>
    </row>
    <row r="12" spans="1:44" x14ac:dyDescent="0.2">
      <c r="L12" s="1">
        <v>19</v>
      </c>
      <c r="M12" s="1">
        <v>1027</v>
      </c>
      <c r="N12" s="10">
        <v>108870</v>
      </c>
      <c r="O12" s="1">
        <v>48</v>
      </c>
      <c r="P12" s="1">
        <v>255</v>
      </c>
      <c r="Q12" s="1">
        <v>90</v>
      </c>
      <c r="R12" s="1">
        <v>1026</v>
      </c>
      <c r="S12" s="1">
        <v>564</v>
      </c>
      <c r="T12" s="8">
        <f t="shared" si="1"/>
        <v>2.7512791039833422</v>
      </c>
      <c r="W12" s="2" t="s">
        <v>8</v>
      </c>
      <c r="X12" s="6">
        <v>354</v>
      </c>
      <c r="Y12" s="6">
        <v>23130</v>
      </c>
      <c r="Z12" s="7">
        <v>4.3641756327706194</v>
      </c>
    </row>
    <row r="13" spans="1:44" x14ac:dyDescent="0.2">
      <c r="X13" s="6">
        <v>406</v>
      </c>
      <c r="Y13" s="6">
        <v>9416</v>
      </c>
      <c r="Z13" s="7">
        <v>3.9738664498353784</v>
      </c>
    </row>
    <row r="14" spans="1:44" x14ac:dyDescent="0.2">
      <c r="X14" s="6">
        <v>476</v>
      </c>
      <c r="Y14" s="6">
        <v>6557</v>
      </c>
      <c r="Z14" s="7">
        <v>3.8167051836665151</v>
      </c>
    </row>
    <row r="15" spans="1:44" x14ac:dyDescent="0.2">
      <c r="L15" s="12"/>
      <c r="X15" s="6">
        <v>544</v>
      </c>
      <c r="Y15" s="6">
        <v>4361</v>
      </c>
      <c r="Z15" s="7">
        <v>3.6395860866734266</v>
      </c>
      <c r="AG15" s="22" t="s">
        <v>16</v>
      </c>
      <c r="AH15" s="22"/>
      <c r="AI15" s="22"/>
    </row>
    <row r="16" spans="1:44" x14ac:dyDescent="0.2">
      <c r="T16" s="12"/>
      <c r="X16" s="6">
        <v>682</v>
      </c>
      <c r="Y16" s="6">
        <v>2322</v>
      </c>
      <c r="Z16" s="7">
        <v>3.3658622154025548</v>
      </c>
      <c r="AP16" s="1" t="s">
        <v>9</v>
      </c>
      <c r="AQ16" s="1" t="s">
        <v>19</v>
      </c>
      <c r="AR16" s="1" t="s">
        <v>10</v>
      </c>
    </row>
    <row r="17" spans="24:44" x14ac:dyDescent="0.2">
      <c r="X17" s="6">
        <v>716</v>
      </c>
      <c r="Y17" s="6">
        <v>2027</v>
      </c>
      <c r="Z17" s="7">
        <v>3.3068537486930087</v>
      </c>
      <c r="AG17" s="1" t="s">
        <v>25</v>
      </c>
      <c r="AH17" s="1" t="s">
        <v>24</v>
      </c>
      <c r="AI17" s="17" t="s">
        <v>18</v>
      </c>
      <c r="AJ17" s="18"/>
      <c r="AK17" s="1" t="s">
        <v>17</v>
      </c>
      <c r="AL17" s="1" t="s">
        <v>10</v>
      </c>
      <c r="AO17" s="2" t="s">
        <v>7</v>
      </c>
      <c r="AP17" s="4">
        <v>894</v>
      </c>
      <c r="AQ17" s="13">
        <v>910</v>
      </c>
      <c r="AR17" s="5">
        <v>2.9590413923210899</v>
      </c>
    </row>
    <row r="18" spans="24:44" x14ac:dyDescent="0.2">
      <c r="X18" s="6">
        <v>1026</v>
      </c>
      <c r="Y18" s="6">
        <v>564</v>
      </c>
      <c r="Z18" s="7">
        <v>2.7512791039833422</v>
      </c>
      <c r="AG18" s="21">
        <v>1</v>
      </c>
      <c r="AH18" s="1">
        <v>1</v>
      </c>
      <c r="AI18" s="17">
        <v>630</v>
      </c>
      <c r="AJ18" s="18"/>
      <c r="AK18" s="16">
        <f>10^(-0.002*AI18+4.8155)</f>
        <v>3593.353967553905</v>
      </c>
      <c r="AL18" s="8">
        <f>LOG10(AK18)</f>
        <v>3.5555000000000008</v>
      </c>
      <c r="AP18" s="14">
        <v>1006</v>
      </c>
      <c r="AQ18" s="14">
        <v>540</v>
      </c>
      <c r="AR18" s="15">
        <v>2.7323937598229686</v>
      </c>
    </row>
    <row r="19" spans="24:44" x14ac:dyDescent="0.2">
      <c r="AG19" s="21"/>
      <c r="AH19" s="1">
        <v>2</v>
      </c>
      <c r="AI19" s="17">
        <v>940</v>
      </c>
      <c r="AJ19" s="18"/>
      <c r="AK19" s="16">
        <f t="shared" ref="AK18:AK24" si="2">10^(-0.002*AI19+4.8155)</f>
        <v>861.98557870575917</v>
      </c>
      <c r="AL19" s="8">
        <f t="shared" ref="AL19:AL24" si="3">LOG10(AK19)</f>
        <v>2.9355000000000002</v>
      </c>
      <c r="AP19" s="4">
        <v>1070</v>
      </c>
      <c r="AQ19" s="4">
        <v>426</v>
      </c>
      <c r="AR19" s="5">
        <v>2.6294095991027189</v>
      </c>
    </row>
    <row r="20" spans="24:44" x14ac:dyDescent="0.2">
      <c r="AG20" s="21"/>
      <c r="AH20" s="1">
        <v>3</v>
      </c>
      <c r="AI20" s="17">
        <v>1160</v>
      </c>
      <c r="AJ20" s="18"/>
      <c r="AK20" s="16">
        <f t="shared" si="2"/>
        <v>312.96804715636733</v>
      </c>
      <c r="AL20" s="8">
        <f t="shared" si="3"/>
        <v>2.4955000000000007</v>
      </c>
      <c r="AP20" s="4">
        <v>1206</v>
      </c>
      <c r="AQ20" s="4">
        <v>409</v>
      </c>
      <c r="AR20" s="5">
        <v>2.6117233080073419</v>
      </c>
    </row>
    <row r="21" spans="24:44" x14ac:dyDescent="0.2">
      <c r="AG21" s="19">
        <v>2</v>
      </c>
      <c r="AH21" s="3">
        <v>4</v>
      </c>
      <c r="AI21" s="17">
        <v>432</v>
      </c>
      <c r="AJ21" s="18"/>
      <c r="AK21" s="16">
        <f t="shared" si="2"/>
        <v>8943.34531932559</v>
      </c>
      <c r="AL21" s="8">
        <f t="shared" si="3"/>
        <v>3.9515000000000002</v>
      </c>
      <c r="AP21" s="4">
        <v>1212</v>
      </c>
      <c r="AQ21" s="4">
        <v>235</v>
      </c>
      <c r="AR21" s="5">
        <v>2.3710678622717363</v>
      </c>
    </row>
    <row r="22" spans="24:44" x14ac:dyDescent="0.2">
      <c r="AG22" s="20"/>
      <c r="AH22" s="3">
        <v>5</v>
      </c>
      <c r="AI22" s="17">
        <v>616</v>
      </c>
      <c r="AJ22" s="18"/>
      <c r="AK22" s="16">
        <f t="shared" si="2"/>
        <v>3832.6574040003466</v>
      </c>
      <c r="AL22" s="8">
        <f t="shared" si="3"/>
        <v>3.5834999999999999</v>
      </c>
      <c r="AO22" s="2" t="s">
        <v>23</v>
      </c>
      <c r="AP22" s="6">
        <v>354</v>
      </c>
      <c r="AQ22" s="6">
        <v>23130</v>
      </c>
      <c r="AR22" s="7">
        <v>4.3641756327706194</v>
      </c>
    </row>
    <row r="23" spans="24:44" x14ac:dyDescent="0.2">
      <c r="AG23" s="1">
        <v>3</v>
      </c>
      <c r="AH23" s="3">
        <v>6</v>
      </c>
      <c r="AI23" s="17">
        <v>686</v>
      </c>
      <c r="AJ23" s="18"/>
      <c r="AK23" s="16">
        <f t="shared" si="2"/>
        <v>2776.5148461055137</v>
      </c>
      <c r="AL23" s="8">
        <f t="shared" si="3"/>
        <v>3.4435000000000007</v>
      </c>
      <c r="AP23" s="6">
        <v>406</v>
      </c>
      <c r="AQ23" s="6">
        <v>9416</v>
      </c>
      <c r="AR23" s="7">
        <v>3.9738664498353784</v>
      </c>
    </row>
    <row r="24" spans="24:44" x14ac:dyDescent="0.2">
      <c r="AG24" s="1">
        <v>4</v>
      </c>
      <c r="AH24" s="3">
        <v>7</v>
      </c>
      <c r="AI24" s="17">
        <v>316</v>
      </c>
      <c r="AJ24" s="18"/>
      <c r="AK24" s="16">
        <f t="shared" si="2"/>
        <v>15258.08394807492</v>
      </c>
      <c r="AL24" s="8">
        <f t="shared" si="3"/>
        <v>4.1835000000000004</v>
      </c>
      <c r="AP24" s="6">
        <v>476</v>
      </c>
      <c r="AQ24" s="6">
        <v>6557</v>
      </c>
      <c r="AR24" s="7">
        <v>3.8167051836665151</v>
      </c>
    </row>
    <row r="25" spans="24:44" x14ac:dyDescent="0.2">
      <c r="AP25" s="6">
        <v>544</v>
      </c>
      <c r="AQ25" s="6">
        <v>4361</v>
      </c>
      <c r="AR25" s="7">
        <v>3.6395860866734266</v>
      </c>
    </row>
    <row r="26" spans="24:44" x14ac:dyDescent="0.2">
      <c r="AP26" s="6">
        <v>682</v>
      </c>
      <c r="AQ26" s="6">
        <v>2322</v>
      </c>
      <c r="AR26" s="7">
        <v>3.3658622154025548</v>
      </c>
    </row>
    <row r="27" spans="24:44" x14ac:dyDescent="0.2">
      <c r="AI27" s="2" t="s">
        <v>20</v>
      </c>
      <c r="AJ27" s="2" t="s">
        <v>21</v>
      </c>
      <c r="AK27" s="2" t="s">
        <v>22</v>
      </c>
      <c r="AP27" s="6">
        <v>716</v>
      </c>
      <c r="AQ27" s="6">
        <v>2027</v>
      </c>
      <c r="AR27" s="7">
        <v>3.3068537486930087</v>
      </c>
    </row>
    <row r="28" spans="24:44" x14ac:dyDescent="0.2">
      <c r="AH28" s="2" t="s">
        <v>8</v>
      </c>
      <c r="AI28" s="2">
        <v>2911</v>
      </c>
      <c r="AJ28" s="2">
        <v>3593.35</v>
      </c>
      <c r="AK28" s="2">
        <v>630</v>
      </c>
      <c r="AP28" s="6">
        <v>1026</v>
      </c>
      <c r="AQ28" s="6">
        <v>564</v>
      </c>
      <c r="AR28" s="7">
        <v>2.7512791039833422</v>
      </c>
    </row>
    <row r="29" spans="24:44" x14ac:dyDescent="0.2">
      <c r="AI29" s="2">
        <v>766</v>
      </c>
    </row>
    <row r="30" spans="24:44" x14ac:dyDescent="0.2">
      <c r="AI30" s="2">
        <v>246</v>
      </c>
    </row>
  </sheetData>
  <mergeCells count="14">
    <mergeCell ref="AI23:AJ23"/>
    <mergeCell ref="AI24:AJ24"/>
    <mergeCell ref="AG21:AG22"/>
    <mergeCell ref="AG18:AG20"/>
    <mergeCell ref="X4:Z4"/>
    <mergeCell ref="AI17:AJ17"/>
    <mergeCell ref="AI18:AJ18"/>
    <mergeCell ref="AI19:AJ19"/>
    <mergeCell ref="AI20:AJ20"/>
    <mergeCell ref="AI21:AJ21"/>
    <mergeCell ref="AI22:AJ22"/>
    <mergeCell ref="AG15:AI15"/>
    <mergeCell ref="AG5:AG7"/>
    <mergeCell ref="AG8:AG9"/>
  </mergeCells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Berens, Sascha</dc:creator>
  <cp:lastModifiedBy>Sascha Berens</cp:lastModifiedBy>
  <dcterms:created xsi:type="dcterms:W3CDTF">2025-10-12T15:34:18Z</dcterms:created>
  <dcterms:modified xsi:type="dcterms:W3CDTF">2025-10-21T12:11:16Z</dcterms:modified>
</cp:coreProperties>
</file>