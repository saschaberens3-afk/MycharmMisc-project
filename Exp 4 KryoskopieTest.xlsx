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scha0404/Downloads/"/>
    </mc:Choice>
  </mc:AlternateContent>
  <xr:revisionPtr revIDLastSave="0" documentId="13_ncr:1_{8BCDEB28-14C9-0C47-9B54-ACA507D1798F}" xr6:coauthVersionLast="47" xr6:coauthVersionMax="47" xr10:uidLastSave="{00000000-0000-0000-0000-000000000000}"/>
  <bookViews>
    <workbookView xWindow="0" yWindow="500" windowWidth="28800" windowHeight="16240" xr2:uid="{5115A34B-1278-E447-BBA7-F23CB993EAAA}"/>
  </bookViews>
  <sheets>
    <sheet name="Tabelle1" sheetId="1" r:id="rId1"/>
    <sheet name="15 Graphen + Gefrierpunkt" sheetId="3" r:id="rId2"/>
    <sheet name="Tabelle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19" i="3" l="1"/>
  <c r="AZ20" i="3"/>
  <c r="BA18" i="3"/>
  <c r="BA17" i="3"/>
  <c r="AQ20" i="3"/>
  <c r="BF20" i="3"/>
  <c r="BE20" i="3"/>
  <c r="BG20" i="3" s="1"/>
  <c r="BF19" i="3"/>
  <c r="BE19" i="3"/>
  <c r="BG19" i="3" s="1"/>
  <c r="BF18" i="3"/>
  <c r="BE18" i="3"/>
  <c r="BG18" i="3" s="1"/>
  <c r="BF17" i="3"/>
  <c r="BG17" i="3" s="1"/>
  <c r="BE17" i="3"/>
  <c r="BE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16" i="3"/>
  <c r="BA16" i="3" s="1"/>
  <c r="AZ18" i="3"/>
  <c r="AZ17" i="3"/>
  <c r="AZ16" i="3"/>
  <c r="AQ17" i="3"/>
  <c r="AQ18" i="3"/>
  <c r="AQ16" i="3"/>
  <c r="AH17" i="3"/>
  <c r="AH18" i="3" s="1"/>
  <c r="AZ22" i="3" s="1"/>
  <c r="AG9" i="3"/>
  <c r="AR17" i="3" s="1"/>
  <c r="AZ24" i="3" l="1"/>
  <c r="AZ23" i="3"/>
  <c r="BA23" i="3" s="1"/>
  <c r="BA24" i="3"/>
  <c r="AZ21" i="3"/>
  <c r="BA22" i="3"/>
  <c r="BA20" i="3"/>
  <c r="BA21" i="3"/>
  <c r="BA19" i="3"/>
  <c r="AR24" i="3"/>
  <c r="AP23" i="3"/>
  <c r="AS23" i="3" s="1"/>
  <c r="AH19" i="3"/>
  <c r="AQ23" i="3"/>
  <c r="AQ24" i="3"/>
  <c r="AQ22" i="3"/>
  <c r="AR16" i="3"/>
  <c r="AR23" i="3"/>
  <c r="AP22" i="3"/>
  <c r="AS22" i="3" s="1"/>
  <c r="AR30" i="3"/>
  <c r="AR22" i="3"/>
  <c r="AP24" i="3"/>
  <c r="AS24" i="3" s="1"/>
  <c r="AP16" i="3"/>
  <c r="AS16" i="3" s="1"/>
  <c r="AQ19" i="3"/>
  <c r="AP30" i="3"/>
  <c r="AS30" i="3" s="1"/>
  <c r="AQ21" i="3"/>
  <c r="AP29" i="3"/>
  <c r="AS29" i="3" s="1"/>
  <c r="AP21" i="3"/>
  <c r="AS21" i="3" s="1"/>
  <c r="AR29" i="3"/>
  <c r="AR21" i="3"/>
  <c r="AR20" i="3"/>
  <c r="AR19" i="3"/>
  <c r="AR26" i="3"/>
  <c r="AR18" i="3"/>
  <c r="AP28" i="3"/>
  <c r="AS28" i="3" s="1"/>
  <c r="AP20" i="3"/>
  <c r="AS20" i="3" s="1"/>
  <c r="AR28" i="3"/>
  <c r="AP27" i="3"/>
  <c r="AS27" i="3" s="1"/>
  <c r="AP19" i="3"/>
  <c r="AS19" i="3" s="1"/>
  <c r="AR27" i="3"/>
  <c r="AP26" i="3"/>
  <c r="AS26" i="3" s="1"/>
  <c r="AP18" i="3"/>
  <c r="AS18" i="3" s="1"/>
  <c r="AP25" i="3"/>
  <c r="AS25" i="3" s="1"/>
  <c r="AP17" i="3"/>
  <c r="AS17" i="3" s="1"/>
  <c r="AR25" i="3"/>
  <c r="AZ26" i="3" l="1"/>
  <c r="BA26" i="3" s="1"/>
  <c r="AZ27" i="3"/>
  <c r="BA27" i="3" s="1"/>
  <c r="AZ25" i="3"/>
  <c r="BA25" i="3" s="1"/>
  <c r="AH20" i="3"/>
  <c r="AQ26" i="3"/>
  <c r="AQ27" i="3"/>
  <c r="AQ25" i="3"/>
  <c r="AZ29" i="3" l="1"/>
  <c r="BA29" i="3" s="1"/>
  <c r="AZ30" i="3"/>
  <c r="BA30" i="3" s="1"/>
  <c r="AZ28" i="3"/>
  <c r="BA28" i="3" s="1"/>
  <c r="AQ29" i="3"/>
  <c r="AQ30" i="3"/>
  <c r="AQ28" i="3"/>
</calcChain>
</file>

<file path=xl/sharedStrings.xml><?xml version="1.0" encoding="utf-8"?>
<sst xmlns="http://schemas.openxmlformats.org/spreadsheetml/2006/main" count="150" uniqueCount="63">
  <si>
    <t>Reines Wasser</t>
  </si>
  <si>
    <t>1. Messung:</t>
  </si>
  <si>
    <t>2. Messung:</t>
  </si>
  <si>
    <t>3. Messung:</t>
  </si>
  <si>
    <t>Wasser + 5wt%:</t>
  </si>
  <si>
    <t>Wasser + 2,5wt%</t>
  </si>
  <si>
    <t>Wasser + 7,5wt%</t>
  </si>
  <si>
    <t>2. Messung;</t>
  </si>
  <si>
    <t>Wasser + 10wt%</t>
  </si>
  <si>
    <t>Tabelle 1: Auflistung der Gefrierpunkte von reinem Wasser + Mittelwert</t>
  </si>
  <si>
    <t>Gefrierpunkt [°C]</t>
  </si>
  <si>
    <t>Mittelwert [°C]</t>
  </si>
  <si>
    <t>Messungen</t>
  </si>
  <si>
    <t>1.</t>
  </si>
  <si>
    <t>2.</t>
  </si>
  <si>
    <t>3.</t>
  </si>
  <si>
    <t>Tabelle 2: Auflistung aller gemessenen Massen m_Wasser und m_Salz der Lösungen</t>
  </si>
  <si>
    <t>5.</t>
  </si>
  <si>
    <t>6.</t>
  </si>
  <si>
    <t>7.</t>
  </si>
  <si>
    <t>9.</t>
  </si>
  <si>
    <t>10.</t>
  </si>
  <si>
    <t>12.</t>
  </si>
  <si>
    <t>13.</t>
  </si>
  <si>
    <t>14.</t>
  </si>
  <si>
    <t>15.</t>
  </si>
  <si>
    <t>4.</t>
  </si>
  <si>
    <t>8.</t>
  </si>
  <si>
    <t>11.</t>
  </si>
  <si>
    <t>m_Wasser [g]</t>
  </si>
  <si>
    <t>m_Salz [g]</t>
  </si>
  <si>
    <t>Tabelle 3: Auflistung der ermittelten und Offset korrigierten Gefrierpunkte der Salzlösungen und m_Salz/m_Wasser</t>
  </si>
  <si>
    <t>ermittelter Gefrierpunkt [°C]</t>
  </si>
  <si>
    <t>korrigierter Gefrierpunkt [°C]</t>
  </si>
  <si>
    <t>m_Salz/m_Wasser</t>
  </si>
  <si>
    <t>Wasser + 5wt%</t>
  </si>
  <si>
    <t>Wasser +7,5wt%</t>
  </si>
  <si>
    <t>Tabelle 4: Auflistung berechneter Molenbrüche von Wasser x_Wasser aller Zusammensetzungen</t>
  </si>
  <si>
    <t>x_Wasser</t>
  </si>
  <si>
    <t>Zusammensetzung</t>
  </si>
  <si>
    <t>DeltaT_Sm [°C]</t>
  </si>
  <si>
    <t>T [K]</t>
  </si>
  <si>
    <t>T*_m</t>
  </si>
  <si>
    <t>DeltaH*_m</t>
  </si>
  <si>
    <t>DeltaH*_m Theorie</t>
  </si>
  <si>
    <t>T*_m Theorie</t>
  </si>
  <si>
    <t>273,15K</t>
  </si>
  <si>
    <t>n(Wasser) [mol]</t>
  </si>
  <si>
    <t>n(Salz) [mol]</t>
  </si>
  <si>
    <t>M(Wasser) [g/mol]</t>
  </si>
  <si>
    <t>332,8kJ/kg</t>
  </si>
  <si>
    <t>https://de.wikipedia.org/wiki/Eis#:~:text=Der%20Schmelz%2D%20bzw.,Verunreinigungen%20wie%20Staubpartikel%2C%20Bakterien%20usw.</t>
  </si>
  <si>
    <t>5995,392J/mol</t>
  </si>
  <si>
    <t>Lineare Fit-Steigung: 34.1471 ± 1.7641 K·(g/g)^-1</t>
  </si>
  <si>
    <t>Molmasse M (aus Kryo-Fit): 108.94 ± 5.63 g/mol</t>
  </si>
  <si>
    <t>Gefitteter Schmelzpunkt T*_m: 273.27 ± 0.12 K</t>
  </si>
  <si>
    <t>Berechnete Schmelzenthalpie ΔH: 6013.11 ± 5.22 J/mol</t>
  </si>
  <si>
    <t>2.5 wt%</t>
  </si>
  <si>
    <t>5wt%</t>
  </si>
  <si>
    <t>7.5wt%</t>
  </si>
  <si>
    <t>10wt%</t>
  </si>
  <si>
    <t>Zeit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</si>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</sst>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2"/>
      <color theme="1"/>
      <name val="Aptos Narrow"/>
      <family val="2"/>
      <scheme val="minor"/>
    </font>
    <font>
      <sz val="10.5"/>
      <color theme="1"/>
      <name val="Courier New"/>
      <family val="1"/>
    </font>
    <font>
      <u/>
      <sz val="12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2" borderId="1" xfId="0" applyNumberFormat="1" applyFill="1" applyBorder="1"/>
    <xf numFmtId="165" fontId="0" fillId="3" borderId="1" xfId="0" applyNumberFormat="1" applyFill="1" applyBorder="1"/>
    <xf numFmtId="165" fontId="0" fillId="4" borderId="1" xfId="0" applyNumberFormat="1" applyFill="1" applyBorder="1"/>
    <xf numFmtId="165" fontId="0" fillId="5" borderId="1" xfId="0" applyNumberFormat="1" applyFill="1" applyBorder="1"/>
    <xf numFmtId="165" fontId="0" fillId="6" borderId="1" xfId="0" applyNumberFormat="1" applyFill="1" applyBorder="1"/>
    <xf numFmtId="165" fontId="0" fillId="0" borderId="0" xfId="0" applyNumberFormat="1" applyAlignment="1">
      <alignment horizontal="center" vertical="center"/>
    </xf>
    <xf numFmtId="0" fontId="2" fillId="0" borderId="0" xfId="1"/>
    <xf numFmtId="0" fontId="0" fillId="7" borderId="1" xfId="0" applyFill="1" applyBorder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279400</xdr:colOff>
      <xdr:row>3</xdr:row>
      <xdr:rowOff>0</xdr:rowOff>
    </xdr:from>
    <xdr:to>
      <xdr:col>9</xdr:col>
      <xdr:colOff>5938</xdr:colOff>
      <xdr:row>28</xdr:row>
      <xdr:rowOff>43330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1343ADB9-155D-D648-9850-7F4485F72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400" y="609600"/>
          <a:ext cx="7246240" cy="5123330"/>
        </a:xfrm>
        <a:prstGeom prst="rect">
          <a:avLst/>
        </a:prstGeom>
      </xdr:spPr>
    </xdr:pic>
    <xdr:clientData/>
  </xdr:twoCellAnchor>
  <xdr:twoCellAnchor editAs="oneCell">
    <xdr:from>
      <xdr:col>9</xdr:col>
      <xdr:colOff>658100</xdr:colOff>
      <xdr:row>3</xdr:row>
      <xdr:rowOff>105738</xdr:rowOff>
    </xdr:from>
    <xdr:to>
      <xdr:col>18</xdr:col>
      <xdr:colOff>373241</xdr:colOff>
      <xdr:row>28</xdr:row>
      <xdr:rowOff>139010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56C0D8E7-0AC4-D84D-80C5-1698BD3EE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01900" y="715338"/>
          <a:ext cx="7258941" cy="5113272"/>
        </a:xfrm>
        <a:prstGeom prst="rect">
          <a:avLst/>
        </a:prstGeom>
      </xdr:spPr>
    </xdr:pic>
    <xdr:clientData/>
  </xdr:twoCellAnchor>
  <xdr:twoCellAnchor editAs="oneCell">
    <xdr:from>
      <xdr:col>18</xdr:col>
      <xdr:colOff>828928</xdr:colOff>
      <xdr:row>3</xdr:row>
      <xdr:rowOff>159354</xdr:rowOff>
    </xdr:from>
    <xdr:to>
      <xdr:col>27</xdr:col>
      <xdr:colOff>539031</xdr:colOff>
      <xdr:row>29</xdr:row>
      <xdr:rowOff>638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9A6D2C62-3F6D-184B-A565-0B039FACF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6528" y="768954"/>
          <a:ext cx="7253903" cy="5123329"/>
        </a:xfrm>
        <a:prstGeom prst="rect">
          <a:avLst/>
        </a:prstGeom>
      </xdr:spPr>
    </xdr:pic>
    <xdr:clientData/>
  </xdr:twoCellAnchor>
  <xdr:twoCellAnchor editAs="oneCell">
    <xdr:from>
      <xdr:col>0</xdr:col>
      <xdr:colOff>355600</xdr:colOff>
      <xdr:row>32</xdr:row>
      <xdr:rowOff>101600</xdr:rowOff>
    </xdr:from>
    <xdr:to>
      <xdr:col>9</xdr:col>
      <xdr:colOff>25400</xdr:colOff>
      <xdr:row>58</xdr:row>
      <xdr:rowOff>210241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09399BAE-1123-DEA3-6532-012DFDA08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600" y="6604000"/>
          <a:ext cx="7213600" cy="5384800"/>
        </a:xfrm>
        <a:prstGeom prst="rect">
          <a:avLst/>
        </a:prstGeom>
      </xdr:spPr>
    </xdr:pic>
    <xdr:clientData/>
  </xdr:twoCellAnchor>
  <xdr:twoCellAnchor editAs="oneCell">
    <xdr:from>
      <xdr:col>10</xdr:col>
      <xdr:colOff>101600</xdr:colOff>
      <xdr:row>32</xdr:row>
      <xdr:rowOff>50800</xdr:rowOff>
    </xdr:from>
    <xdr:to>
      <xdr:col>18</xdr:col>
      <xdr:colOff>609600</xdr:colOff>
      <xdr:row>58</xdr:row>
      <xdr:rowOff>152400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F781FBD3-5DFD-7BB9-ED9B-5E469B302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6553200"/>
          <a:ext cx="7213600" cy="5384800"/>
        </a:xfrm>
        <a:prstGeom prst="rect">
          <a:avLst/>
        </a:prstGeom>
      </xdr:spPr>
    </xdr:pic>
    <xdr:clientData/>
  </xdr:twoCellAnchor>
  <xdr:twoCellAnchor editAs="oneCell">
    <xdr:from>
      <xdr:col>19</xdr:col>
      <xdr:colOff>482600</xdr:colOff>
      <xdr:row>31</xdr:row>
      <xdr:rowOff>101600</xdr:rowOff>
    </xdr:from>
    <xdr:to>
      <xdr:col>28</xdr:col>
      <xdr:colOff>139700</xdr:colOff>
      <xdr:row>58</xdr:row>
      <xdr:rowOff>1411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4AC70035-F75C-9E1C-2091-283141FC2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08400" y="6400800"/>
          <a:ext cx="7200900" cy="5384800"/>
        </a:xfrm>
        <a:prstGeom prst="rect">
          <a:avLst/>
        </a:prstGeom>
      </xdr:spPr>
    </xdr:pic>
    <xdr:clientData/>
  </xdr:twoCellAnchor>
  <xdr:twoCellAnchor editAs="oneCell">
    <xdr:from>
      <xdr:col>0</xdr:col>
      <xdr:colOff>336177</xdr:colOff>
      <xdr:row>62</xdr:row>
      <xdr:rowOff>18676</xdr:rowOff>
    </xdr:from>
    <xdr:to>
      <xdr:col>9</xdr:col>
      <xdr:colOff>141195</xdr:colOff>
      <xdr:row>86</xdr:row>
      <xdr:rowOff>326165</xdr:rowOff>
    </xdr:to>
    <xdr:pic>
      <xdr:nvPicPr>
        <xdr:cNvPr id="15" name="Grafik 14">
          <a:extLst>
            <a:ext uri="{FF2B5EF4-FFF2-40B4-BE49-F238E27FC236}">
              <a16:creationId xmlns:a16="http://schemas.microsoft.com/office/drawing/2014/main" id="{28453C90-D734-1B70-CFDB-49FB00327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177" y="12756029"/>
          <a:ext cx="7200900" cy="53848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62</xdr:row>
      <xdr:rowOff>0</xdr:rowOff>
    </xdr:from>
    <xdr:to>
      <xdr:col>18</xdr:col>
      <xdr:colOff>639482</xdr:colOff>
      <xdr:row>86</xdr:row>
      <xdr:rowOff>307489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497E1501-C255-D869-997C-2DD161DB2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7647" y="12737353"/>
          <a:ext cx="7213600" cy="5384800"/>
        </a:xfrm>
        <a:prstGeom prst="rect">
          <a:avLst/>
        </a:prstGeom>
      </xdr:spPr>
    </xdr:pic>
    <xdr:clientData/>
  </xdr:twoCellAnchor>
  <xdr:twoCellAnchor editAs="oneCell">
    <xdr:from>
      <xdr:col>19</xdr:col>
      <xdr:colOff>709705</xdr:colOff>
      <xdr:row>61</xdr:row>
      <xdr:rowOff>37353</xdr:rowOff>
    </xdr:from>
    <xdr:to>
      <xdr:col>28</xdr:col>
      <xdr:colOff>514722</xdr:colOff>
      <xdr:row>86</xdr:row>
      <xdr:rowOff>141643</xdr:rowOff>
    </xdr:to>
    <xdr:pic>
      <xdr:nvPicPr>
        <xdr:cNvPr id="19" name="Grafik 18">
          <a:extLst>
            <a:ext uri="{FF2B5EF4-FFF2-40B4-BE49-F238E27FC236}">
              <a16:creationId xmlns:a16="http://schemas.microsoft.com/office/drawing/2014/main" id="{362F63DD-AB38-12B0-92D4-69DA97020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3234" y="12569265"/>
          <a:ext cx="7200900" cy="5384800"/>
        </a:xfrm>
        <a:prstGeom prst="rect">
          <a:avLst/>
        </a:prstGeom>
      </xdr:spPr>
    </xdr:pic>
    <xdr:clientData/>
  </xdr:twoCellAnchor>
  <xdr:twoCellAnchor editAs="oneCell">
    <xdr:from>
      <xdr:col>0</xdr:col>
      <xdr:colOff>354853</xdr:colOff>
      <xdr:row>90</xdr:row>
      <xdr:rowOff>186765</xdr:rowOff>
    </xdr:from>
    <xdr:to>
      <xdr:col>9</xdr:col>
      <xdr:colOff>159871</xdr:colOff>
      <xdr:row>117</xdr:row>
      <xdr:rowOff>24653</xdr:rowOff>
    </xdr:to>
    <xdr:pic>
      <xdr:nvPicPr>
        <xdr:cNvPr id="21" name="Grafik 20">
          <a:extLst>
            <a:ext uri="{FF2B5EF4-FFF2-40B4-BE49-F238E27FC236}">
              <a16:creationId xmlns:a16="http://schemas.microsoft.com/office/drawing/2014/main" id="{CE0054A7-F309-C4B9-C787-31DBC9D79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853" y="18676471"/>
          <a:ext cx="7200900" cy="5384800"/>
        </a:xfrm>
        <a:prstGeom prst="rect">
          <a:avLst/>
        </a:prstGeom>
      </xdr:spPr>
    </xdr:pic>
    <xdr:clientData/>
  </xdr:twoCellAnchor>
  <xdr:twoCellAnchor editAs="oneCell">
    <xdr:from>
      <xdr:col>10</xdr:col>
      <xdr:colOff>18677</xdr:colOff>
      <xdr:row>91</xdr:row>
      <xdr:rowOff>112059</xdr:rowOff>
    </xdr:from>
    <xdr:to>
      <xdr:col>18</xdr:col>
      <xdr:colOff>645459</xdr:colOff>
      <xdr:row>117</xdr:row>
      <xdr:rowOff>155388</xdr:rowOff>
    </xdr:to>
    <xdr:pic>
      <xdr:nvPicPr>
        <xdr:cNvPr id="23" name="Grafik 22">
          <a:extLst>
            <a:ext uri="{FF2B5EF4-FFF2-40B4-BE49-F238E27FC236}">
              <a16:creationId xmlns:a16="http://schemas.microsoft.com/office/drawing/2014/main" id="{7BAAA5F4-AF72-F7BD-74D0-15CB5F669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6324" y="18807206"/>
          <a:ext cx="7200900" cy="5384800"/>
        </a:xfrm>
        <a:prstGeom prst="rect">
          <a:avLst/>
        </a:prstGeom>
      </xdr:spPr>
    </xdr:pic>
    <xdr:clientData/>
  </xdr:twoCellAnchor>
  <xdr:twoCellAnchor editAs="oneCell">
    <xdr:from>
      <xdr:col>20</xdr:col>
      <xdr:colOff>205441</xdr:colOff>
      <xdr:row>90</xdr:row>
      <xdr:rowOff>74706</xdr:rowOff>
    </xdr:from>
    <xdr:to>
      <xdr:col>29</xdr:col>
      <xdr:colOff>23159</xdr:colOff>
      <xdr:row>116</xdr:row>
      <xdr:rowOff>118036</xdr:rowOff>
    </xdr:to>
    <xdr:pic>
      <xdr:nvPicPr>
        <xdr:cNvPr id="25" name="Grafik 24">
          <a:extLst>
            <a:ext uri="{FF2B5EF4-FFF2-40B4-BE49-F238E27FC236}">
              <a16:creationId xmlns:a16="http://schemas.microsoft.com/office/drawing/2014/main" id="{0AE8D776-7DDD-2FA6-DF6A-D42F8BED5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40735" y="18564412"/>
          <a:ext cx="7213600" cy="5384800"/>
        </a:xfrm>
        <a:prstGeom prst="rect">
          <a:avLst/>
        </a:prstGeom>
      </xdr:spPr>
    </xdr:pic>
    <xdr:clientData/>
  </xdr:twoCellAnchor>
  <xdr:twoCellAnchor editAs="oneCell">
    <xdr:from>
      <xdr:col>0</xdr:col>
      <xdr:colOff>186764</xdr:colOff>
      <xdr:row>121</xdr:row>
      <xdr:rowOff>37353</xdr:rowOff>
    </xdr:from>
    <xdr:to>
      <xdr:col>9</xdr:col>
      <xdr:colOff>4482</xdr:colOff>
      <xdr:row>147</xdr:row>
      <xdr:rowOff>80681</xdr:rowOff>
    </xdr:to>
    <xdr:pic>
      <xdr:nvPicPr>
        <xdr:cNvPr id="27" name="Grafik 26">
          <a:extLst>
            <a:ext uri="{FF2B5EF4-FFF2-40B4-BE49-F238E27FC236}">
              <a16:creationId xmlns:a16="http://schemas.microsoft.com/office/drawing/2014/main" id="{077FEF00-D223-7210-8390-783D11735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764" y="24895735"/>
          <a:ext cx="7213600" cy="53848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121</xdr:row>
      <xdr:rowOff>0</xdr:rowOff>
    </xdr:from>
    <xdr:to>
      <xdr:col>18</xdr:col>
      <xdr:colOff>639482</xdr:colOff>
      <xdr:row>147</xdr:row>
      <xdr:rowOff>43328</xdr:rowOff>
    </xdr:to>
    <xdr:pic>
      <xdr:nvPicPr>
        <xdr:cNvPr id="29" name="Grafik 28">
          <a:extLst>
            <a:ext uri="{FF2B5EF4-FFF2-40B4-BE49-F238E27FC236}">
              <a16:creationId xmlns:a16="http://schemas.microsoft.com/office/drawing/2014/main" id="{FC80095D-75F3-A371-359C-B42CA1112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7647" y="24858382"/>
          <a:ext cx="7213600" cy="5384800"/>
        </a:xfrm>
        <a:prstGeom prst="rect">
          <a:avLst/>
        </a:prstGeom>
      </xdr:spPr>
    </xdr:pic>
    <xdr:clientData/>
  </xdr:twoCellAnchor>
  <xdr:twoCellAnchor editAs="oneCell">
    <xdr:from>
      <xdr:col>20</xdr:col>
      <xdr:colOff>317500</xdr:colOff>
      <xdr:row>120</xdr:row>
      <xdr:rowOff>168088</xdr:rowOff>
    </xdr:from>
    <xdr:to>
      <xdr:col>29</xdr:col>
      <xdr:colOff>135218</xdr:colOff>
      <xdr:row>147</xdr:row>
      <xdr:rowOff>5975</xdr:rowOff>
    </xdr:to>
    <xdr:pic>
      <xdr:nvPicPr>
        <xdr:cNvPr id="31" name="Grafik 30">
          <a:extLst>
            <a:ext uri="{FF2B5EF4-FFF2-40B4-BE49-F238E27FC236}">
              <a16:creationId xmlns:a16="http://schemas.microsoft.com/office/drawing/2014/main" id="{27956ABC-5BD9-C696-8FEE-33614DC1D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52794" y="24821029"/>
          <a:ext cx="7213600" cy="5384800"/>
        </a:xfrm>
        <a:prstGeom prst="rect">
          <a:avLst/>
        </a:prstGeom>
      </xdr:spPr>
    </xdr:pic>
    <xdr:clientData/>
  </xdr:twoCellAnchor>
  <xdr:oneCellAnchor>
    <xdr:from>
      <xdr:col>34</xdr:col>
      <xdr:colOff>559610</xdr:colOff>
      <xdr:row>14</xdr:row>
      <xdr:rowOff>21618</xdr:rowOff>
    </xdr:from>
    <xdr:ext cx="44961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feld 31">
              <a:extLst>
                <a:ext uri="{FF2B5EF4-FFF2-40B4-BE49-F238E27FC236}">
                  <a16:creationId xmlns:a16="http://schemas.microsoft.com/office/drawing/2014/main" id="{AC2C4486-E86C-9D8C-80EA-8E10DE9168B9}"/>
                </a:ext>
              </a:extLst>
            </xdr:cNvPr>
            <xdr:cNvSpPr txBox="1"/>
          </xdr:nvSpPr>
          <xdr:spPr>
            <a:xfrm>
              <a:off x="31128510" y="2866418"/>
              <a:ext cx="44961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fr-CH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</m:t>
                    </m:r>
                    <m:r>
                      <a:rPr lang="fr-CH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[</m:t>
                    </m:r>
                    <m:r>
                      <a:rPr lang="fr-CH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𝑔</m:t>
                    </m:r>
                    <m:r>
                      <a:rPr lang="fr-CH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32" name="Textfeld 31">
              <a:extLst>
                <a:ext uri="{FF2B5EF4-FFF2-40B4-BE49-F238E27FC236}">
                  <a16:creationId xmlns:a16="http://schemas.microsoft.com/office/drawing/2014/main" id="{AC2C4486-E86C-9D8C-80EA-8E10DE9168B9}"/>
                </a:ext>
              </a:extLst>
            </xdr:cNvPr>
            <xdr:cNvSpPr txBox="1"/>
          </xdr:nvSpPr>
          <xdr:spPr>
            <a:xfrm>
              <a:off x="31128510" y="2866418"/>
              <a:ext cx="44961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e-DE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fr-CH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𝑚 [𝑔]</a:t>
              </a:r>
              <a:endParaRPr lang="de-DE" sz="1100"/>
            </a:p>
          </xdr:txBody>
        </xdr:sp>
      </mc:Fallback>
    </mc:AlternateContent>
    <xdr:clientData/>
  </xdr:oneCellAnchor>
  <xdr:oneCellAnchor>
    <xdr:from>
      <xdr:col>32</xdr:col>
      <xdr:colOff>71120</xdr:colOff>
      <xdr:row>85</xdr:row>
      <xdr:rowOff>50800</xdr:rowOff>
    </xdr:from>
    <xdr:ext cx="1153777" cy="2403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feld 13">
              <a:extLst>
                <a:ext uri="{FF2B5EF4-FFF2-40B4-BE49-F238E27FC236}">
                  <a16:creationId xmlns:a16="http://schemas.microsoft.com/office/drawing/2014/main" id="{3AF605F1-C99B-D36D-0F4B-A4D1868C3D89}"/>
                </a:ext>
              </a:extLst>
            </xdr:cNvPr>
            <xdr:cNvSpPr txBox="1"/>
          </xdr:nvSpPr>
          <xdr:spPr>
            <a:xfrm>
              <a:off x="27061480" y="17647737"/>
              <a:ext cx="1153777" cy="2403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CH" sz="1100" b="0">
                  <a:ea typeface="+mn-ea"/>
                </a:rPr>
                <a:t>6012</a:t>
              </a:r>
              <a14:m>
                <m:oMath xmlns:m="http://schemas.openxmlformats.org/officeDocument/2006/math">
                  <m:r>
                    <a:rPr lang="fr-CH" sz="1100" b="0" i="0">
                      <a:latin typeface="Cambria Math" panose="02040503050406030204" pitchFamily="18" charset="0"/>
                      <a:ea typeface="+mn-ea"/>
                    </a:rPr>
                    <m:t>,10</m:t>
                  </m:r>
                  <m:r>
                    <a:rPr lang="fr-CH" sz="1100" b="0" i="1">
                      <a:latin typeface="Cambria Math" panose="02040503050406030204" pitchFamily="18" charset="0"/>
                      <a:ea typeface="+mn-ea"/>
                    </a:rPr>
                    <m:t> </m:t>
                  </m:r>
                  <m:r>
                    <a:rPr lang="fr-CH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±4,20</m:t>
                  </m:r>
                  <m:f>
                    <m:fPr>
                      <m:ctrlPr>
                        <a:rPr lang="fr-CH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fr-CH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𝐽</m:t>
                      </m:r>
                    </m:num>
                    <m:den>
                      <m:r>
                        <a:rPr lang="fr-CH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𝑚𝑜𝑙</m:t>
                      </m:r>
                    </m:den>
                  </m:f>
                </m:oMath>
              </a14:m>
              <a:endParaRPr lang="de-DE" sz="1100"/>
            </a:p>
          </xdr:txBody>
        </xdr:sp>
      </mc:Choice>
      <mc:Fallback xmlns="">
        <xdr:sp macro="" textlink="">
          <xdr:nvSpPr>
            <xdr:cNvPr id="14" name="Textfeld 13">
              <a:extLst>
                <a:ext uri="{FF2B5EF4-FFF2-40B4-BE49-F238E27FC236}">
                  <a16:creationId xmlns:a16="http://schemas.microsoft.com/office/drawing/2014/main" id="{3AF605F1-C99B-D36D-0F4B-A4D1868C3D89}"/>
                </a:ext>
              </a:extLst>
            </xdr:cNvPr>
            <xdr:cNvSpPr txBox="1"/>
          </xdr:nvSpPr>
          <xdr:spPr>
            <a:xfrm>
              <a:off x="27061480" y="17647737"/>
              <a:ext cx="1153777" cy="2403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CH" sz="1100" b="0">
                  <a:ea typeface="+mn-ea"/>
                </a:rPr>
                <a:t>6012</a:t>
              </a:r>
              <a:r>
                <a:rPr lang="fr-CH" sz="1100" b="0" i="0">
                  <a:latin typeface="Cambria Math" panose="02040503050406030204" pitchFamily="18" charset="0"/>
                  <a:ea typeface="+mn-ea"/>
                </a:rPr>
                <a:t>,10 </a:t>
              </a:r>
              <a:r>
                <a:rPr lang="fr-CH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±4,20 𝐽/𝑚𝑜𝑙</a:t>
              </a:r>
              <a:endParaRPr lang="de-DE" sz="1100"/>
            </a:p>
          </xdr:txBody>
        </xdr:sp>
      </mc:Fallback>
    </mc:AlternateContent>
    <xdr:clientData/>
  </xdr:oneCellAnchor>
  <xdr:oneCellAnchor>
    <xdr:from>
      <xdr:col>32</xdr:col>
      <xdr:colOff>213360</xdr:colOff>
      <xdr:row>86</xdr:row>
      <xdr:rowOff>121920</xdr:rowOff>
    </xdr:from>
    <xdr:ext cx="101091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feld 15">
              <a:extLst>
                <a:ext uri="{FF2B5EF4-FFF2-40B4-BE49-F238E27FC236}">
                  <a16:creationId xmlns:a16="http://schemas.microsoft.com/office/drawing/2014/main" id="{6000541A-0FDE-2862-FE17-4C3F028C8069}"/>
                </a:ext>
              </a:extLst>
            </xdr:cNvPr>
            <xdr:cNvSpPr txBox="1"/>
          </xdr:nvSpPr>
          <xdr:spPr>
            <a:xfrm>
              <a:off x="27203720" y="18062100"/>
              <a:ext cx="101091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CH" sz="1100" b="0" i="1">
                        <a:latin typeface="Cambria Math" panose="02040503050406030204" pitchFamily="18" charset="0"/>
                      </a:rPr>
                      <m:t>273,24 </m:t>
                    </m:r>
                    <m:r>
                      <a:rPr lang="fr-CH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±0,10</m:t>
                    </m:r>
                    <m:r>
                      <a:rPr lang="fr-CH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16" name="Textfeld 15">
              <a:extLst>
                <a:ext uri="{FF2B5EF4-FFF2-40B4-BE49-F238E27FC236}">
                  <a16:creationId xmlns:a16="http://schemas.microsoft.com/office/drawing/2014/main" id="{6000541A-0FDE-2862-FE17-4C3F028C8069}"/>
                </a:ext>
              </a:extLst>
            </xdr:cNvPr>
            <xdr:cNvSpPr txBox="1"/>
          </xdr:nvSpPr>
          <xdr:spPr>
            <a:xfrm>
              <a:off x="27203720" y="18062100"/>
              <a:ext cx="101091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CH" sz="1100" b="0" i="0">
                  <a:latin typeface="Cambria Math" panose="02040503050406030204" pitchFamily="18" charset="0"/>
                </a:rPr>
                <a:t>273,24 </a:t>
              </a:r>
              <a:r>
                <a:rPr lang="fr-CH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±0,10𝐾</a:t>
              </a:r>
              <a:endParaRPr lang="de-DE" sz="1100"/>
            </a:p>
          </xdr:txBody>
        </xdr:sp>
      </mc:Fallback>
    </mc:AlternateContent>
    <xdr:clientData/>
  </xdr:oneCellAnchor>
  <xdr:twoCellAnchor editAs="oneCell">
    <xdr:from>
      <xdr:col>31</xdr:col>
      <xdr:colOff>0</xdr:colOff>
      <xdr:row>61</xdr:row>
      <xdr:rowOff>0</xdr:rowOff>
    </xdr:from>
    <xdr:to>
      <xdr:col>35</xdr:col>
      <xdr:colOff>120821</xdr:colOff>
      <xdr:row>82</xdr:row>
      <xdr:rowOff>145535</xdr:rowOff>
    </xdr:to>
    <xdr:pic>
      <xdr:nvPicPr>
        <xdr:cNvPr id="18" name="Grafik 17">
          <a:extLst>
            <a:ext uri="{FF2B5EF4-FFF2-40B4-BE49-F238E27FC236}">
              <a16:creationId xmlns:a16="http://schemas.microsoft.com/office/drawing/2014/main" id="{1CF0189F-A9E0-A5DD-1DF7-B5A19CAEA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43243" y="12654234"/>
          <a:ext cx="6299200" cy="4470400"/>
        </a:xfrm>
        <a:prstGeom prst="rect">
          <a:avLst/>
        </a:prstGeom>
      </xdr:spPr>
    </xdr:pic>
    <xdr:clientData/>
  </xdr:twoCellAnchor>
  <xdr:twoCellAnchor editAs="oneCell">
    <xdr:from>
      <xdr:col>30</xdr:col>
      <xdr:colOff>993914</xdr:colOff>
      <xdr:row>31</xdr:row>
      <xdr:rowOff>165652</xdr:rowOff>
    </xdr:from>
    <xdr:to>
      <xdr:col>35</xdr:col>
      <xdr:colOff>81723</xdr:colOff>
      <xdr:row>54</xdr:row>
      <xdr:rowOff>64052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E5267F45-C55C-12C8-738B-70C6CAD4D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41740" y="6327913"/>
          <a:ext cx="6299200" cy="4470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e.wikipedia.org/wiki/E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5DAE9-E18C-7341-85C2-0150EE017C9C}">
  <dimension ref="A1:AT590"/>
  <sheetViews>
    <sheetView tabSelected="1" topLeftCell="AJ1" zoomScale="171" zoomScaleNormal="171" workbookViewId="0">
      <selection activeCell="AR4" sqref="AR4:AT4"/>
    </sheetView>
  </sheetViews>
  <sheetFormatPr baseColWidth="10" defaultRowHeight="16" x14ac:dyDescent="0.2"/>
  <cols>
    <col min="9" max="9" width="10.83203125" style="6"/>
    <col min="18" max="18" width="10.83203125" style="6"/>
    <col min="27" max="27" width="10.83203125" style="6"/>
    <col min="36" max="36" width="10.83203125" style="6"/>
  </cols>
  <sheetData>
    <row r="1" spans="1:46" x14ac:dyDescent="0.2">
      <c r="AL1" t="s">
        <v>8</v>
      </c>
    </row>
    <row r="2" spans="1:46" x14ac:dyDescent="0.2">
      <c r="B2" s="5" t="s">
        <v>0</v>
      </c>
      <c r="I2"/>
      <c r="J2" s="6"/>
      <c r="K2" s="5" t="s">
        <v>5</v>
      </c>
      <c r="R2"/>
      <c r="S2" s="6"/>
      <c r="T2" t="s">
        <v>4</v>
      </c>
      <c r="AA2"/>
      <c r="AB2" s="6"/>
      <c r="AC2" t="s">
        <v>6</v>
      </c>
      <c r="AJ2"/>
      <c r="AK2" s="6"/>
    </row>
    <row r="3" spans="1:46" x14ac:dyDescent="0.2">
      <c r="B3" s="5" t="s">
        <v>1</v>
      </c>
      <c r="E3" t="s">
        <v>2</v>
      </c>
      <c r="H3" t="s">
        <v>3</v>
      </c>
      <c r="I3"/>
      <c r="J3" s="6"/>
      <c r="K3" s="5" t="s">
        <v>1</v>
      </c>
      <c r="N3" t="s">
        <v>2</v>
      </c>
      <c r="Q3" t="s">
        <v>3</v>
      </c>
      <c r="R3"/>
      <c r="S3" s="6"/>
      <c r="T3" t="s">
        <v>1</v>
      </c>
      <c r="W3" t="s">
        <v>2</v>
      </c>
      <c r="Z3" t="s">
        <v>3</v>
      </c>
      <c r="AA3"/>
      <c r="AB3" s="6"/>
      <c r="AC3" t="s">
        <v>1</v>
      </c>
      <c r="AF3" t="s">
        <v>7</v>
      </c>
      <c r="AI3" t="s">
        <v>3</v>
      </c>
      <c r="AJ3"/>
      <c r="AK3" s="6"/>
      <c r="AM3" t="s">
        <v>1</v>
      </c>
      <c r="AP3" t="s">
        <v>2</v>
      </c>
      <c r="AS3" t="s">
        <v>3</v>
      </c>
    </row>
    <row r="4" spans="1:46" x14ac:dyDescent="0.2">
      <c r="A4" s="5" t="s">
        <v>0</v>
      </c>
      <c r="B4" t="s">
        <v>61</v>
      </c>
      <c r="C4" t="s">
        <v>62</v>
      </c>
      <c r="D4" s="5" t="s">
        <v>0</v>
      </c>
      <c r="E4" t="s">
        <v>61</v>
      </c>
      <c r="F4" t="s">
        <v>62</v>
      </c>
      <c r="G4" s="5" t="s">
        <v>0</v>
      </c>
      <c r="H4" t="s">
        <v>61</v>
      </c>
      <c r="I4" t="s">
        <v>62</v>
      </c>
      <c r="J4" t="s">
        <v>57</v>
      </c>
      <c r="K4" t="s">
        <v>61</v>
      </c>
      <c r="L4" t="s">
        <v>62</v>
      </c>
      <c r="M4" t="s">
        <v>57</v>
      </c>
      <c r="N4" t="s">
        <v>61</v>
      </c>
      <c r="O4" t="s">
        <v>62</v>
      </c>
      <c r="P4" t="s">
        <v>57</v>
      </c>
      <c r="Q4" t="s">
        <v>61</v>
      </c>
      <c r="R4" t="s">
        <v>62</v>
      </c>
      <c r="S4" t="s">
        <v>58</v>
      </c>
      <c r="T4" t="s">
        <v>61</v>
      </c>
      <c r="U4" t="s">
        <v>62</v>
      </c>
      <c r="V4" t="s">
        <v>58</v>
      </c>
      <c r="W4" t="s">
        <v>61</v>
      </c>
      <c r="X4" t="s">
        <v>62</v>
      </c>
      <c r="Y4" t="s">
        <v>58</v>
      </c>
      <c r="Z4" t="s">
        <v>61</v>
      </c>
      <c r="AA4" t="s">
        <v>62</v>
      </c>
      <c r="AB4" t="s">
        <v>59</v>
      </c>
      <c r="AC4" t="s">
        <v>61</v>
      </c>
      <c r="AD4" t="s">
        <v>62</v>
      </c>
      <c r="AE4" t="s">
        <v>59</v>
      </c>
      <c r="AF4" t="s">
        <v>61</v>
      </c>
      <c r="AG4" t="s">
        <v>62</v>
      </c>
      <c r="AH4" t="s">
        <v>59</v>
      </c>
      <c r="AI4" t="s">
        <v>61</v>
      </c>
      <c r="AJ4" t="s">
        <v>62</v>
      </c>
      <c r="AK4" s="6"/>
      <c r="AL4" t="s">
        <v>60</v>
      </c>
      <c r="AM4" t="s">
        <v>61</v>
      </c>
      <c r="AN4" t="s">
        <v>62</v>
      </c>
      <c r="AO4" t="s">
        <v>60</v>
      </c>
      <c r="AP4" t="s">
        <v>61</v>
      </c>
      <c r="AQ4" t="s">
        <v>62</v>
      </c>
      <c r="AR4" t="s">
        <v>60</v>
      </c>
      <c r="AS4" t="s">
        <v>61</v>
      </c>
      <c r="AT4" t="s">
        <v>62</v>
      </c>
    </row>
    <row r="5" spans="1:46" x14ac:dyDescent="0.2">
      <c r="B5" s="1">
        <v>1.5952</v>
      </c>
      <c r="C5" s="1">
        <v>20.986000000000001</v>
      </c>
      <c r="E5" s="1">
        <v>1.5287999999999999</v>
      </c>
      <c r="F5" s="1">
        <v>17.403500000000001</v>
      </c>
      <c r="H5" s="1">
        <v>1.5321100000000001</v>
      </c>
      <c r="I5" s="1">
        <v>16.18</v>
      </c>
      <c r="J5" s="6"/>
      <c r="K5" s="1">
        <v>1.5322</v>
      </c>
      <c r="L5" s="1">
        <v>20.3125</v>
      </c>
      <c r="N5" s="1">
        <v>1.53104</v>
      </c>
      <c r="O5" s="1">
        <v>9.4375</v>
      </c>
      <c r="Q5" s="1">
        <v>1.5290600000000001</v>
      </c>
      <c r="R5" s="1">
        <v>7.9515000000000002</v>
      </c>
      <c r="S5" s="6"/>
      <c r="T5" s="1">
        <v>1.5322</v>
      </c>
      <c r="U5" s="1">
        <v>7.8404999999999996</v>
      </c>
      <c r="W5" s="1">
        <v>1.52702</v>
      </c>
      <c r="X5" s="1">
        <v>7.3460000000000001</v>
      </c>
      <c r="Z5" s="1">
        <v>1.5320499999999999</v>
      </c>
      <c r="AA5" s="1">
        <v>10.6815</v>
      </c>
      <c r="AB5" s="6"/>
      <c r="AC5" s="1">
        <v>1.53041</v>
      </c>
      <c r="AD5" s="1">
        <v>9.6129999999999995</v>
      </c>
      <c r="AF5" s="1">
        <v>1.52959</v>
      </c>
      <c r="AG5" s="1">
        <v>10.6075</v>
      </c>
      <c r="AI5" s="1">
        <v>1.52823</v>
      </c>
      <c r="AJ5" s="1">
        <v>4.7789999999999999</v>
      </c>
      <c r="AK5" s="6"/>
      <c r="AM5" s="1">
        <v>1.52885</v>
      </c>
      <c r="AN5" s="1">
        <v>17.792000000000002</v>
      </c>
      <c r="AP5" s="1">
        <v>1.53003</v>
      </c>
      <c r="AQ5" s="1">
        <v>2.8580000000000001</v>
      </c>
      <c r="AS5" s="1">
        <v>1.5283800000000001</v>
      </c>
      <c r="AT5" s="1">
        <v>7.5149999999999997</v>
      </c>
    </row>
    <row r="6" spans="1:46" x14ac:dyDescent="0.2">
      <c r="B6" s="1">
        <v>2.7013799999999999</v>
      </c>
      <c r="C6" s="1">
        <v>20.984000000000002</v>
      </c>
      <c r="E6" s="1">
        <v>2.5358000000000001</v>
      </c>
      <c r="F6" s="1">
        <v>17.416499999999999</v>
      </c>
      <c r="H6" s="1">
        <v>2.5387400000000002</v>
      </c>
      <c r="I6" s="1">
        <v>16.209</v>
      </c>
      <c r="J6" s="6"/>
      <c r="K6" s="1">
        <v>2.53661</v>
      </c>
      <c r="L6" s="1">
        <v>20.34</v>
      </c>
      <c r="N6" s="1">
        <v>2.5344099999999998</v>
      </c>
      <c r="O6" s="1">
        <v>9.4700000000000006</v>
      </c>
      <c r="Q6" s="1">
        <v>2.53085</v>
      </c>
      <c r="R6" s="1">
        <v>7.9690000000000003</v>
      </c>
      <c r="S6" s="6"/>
      <c r="T6" s="1">
        <v>2.5373700000000001</v>
      </c>
      <c r="U6" s="1">
        <v>7.8585000000000003</v>
      </c>
      <c r="W6" s="1">
        <v>2.5347</v>
      </c>
      <c r="X6" s="1">
        <v>7.3879999999999999</v>
      </c>
      <c r="Z6" s="1">
        <v>2.5388500000000001</v>
      </c>
      <c r="AA6" s="1">
        <v>10.711499999999999</v>
      </c>
      <c r="AB6" s="6"/>
      <c r="AC6" s="1">
        <v>2.5347200000000001</v>
      </c>
      <c r="AD6" s="1">
        <v>9.6479999999999997</v>
      </c>
      <c r="AF6" s="1">
        <v>2.53295</v>
      </c>
      <c r="AG6" s="1">
        <v>10.673999999999999</v>
      </c>
      <c r="AI6" s="1">
        <v>2.5309499999999998</v>
      </c>
      <c r="AJ6" s="1">
        <v>4.8525</v>
      </c>
      <c r="AK6" s="6"/>
      <c r="AM6" s="1">
        <v>2.5321600000000002</v>
      </c>
      <c r="AN6" s="1">
        <v>17.792999999999999</v>
      </c>
      <c r="AP6" s="1">
        <v>2.5324300000000002</v>
      </c>
      <c r="AQ6" s="1">
        <v>2.8809999999999998</v>
      </c>
      <c r="AS6" s="1">
        <v>2.5319199999999999</v>
      </c>
      <c r="AT6" s="1">
        <v>7.5659999999999998</v>
      </c>
    </row>
    <row r="7" spans="1:46" x14ac:dyDescent="0.2">
      <c r="B7" s="1">
        <v>3.7067999999999999</v>
      </c>
      <c r="C7" s="1">
        <v>20.980499999999999</v>
      </c>
      <c r="E7" s="1">
        <v>3.53973</v>
      </c>
      <c r="F7" s="1">
        <v>17.422999999999998</v>
      </c>
      <c r="H7" s="1">
        <v>3.54528</v>
      </c>
      <c r="I7" s="1">
        <v>16.239000000000001</v>
      </c>
      <c r="J7" s="6"/>
      <c r="K7" s="1">
        <v>3.5413399999999999</v>
      </c>
      <c r="L7" s="1">
        <v>20.369</v>
      </c>
      <c r="N7" s="1">
        <v>3.5382400000000001</v>
      </c>
      <c r="O7" s="1">
        <v>9.5065000000000008</v>
      </c>
      <c r="Q7" s="1">
        <v>3.5349900000000001</v>
      </c>
      <c r="R7" s="1">
        <v>7.99</v>
      </c>
      <c r="S7" s="6"/>
      <c r="T7" s="1">
        <v>3.5474199999999998</v>
      </c>
      <c r="U7" s="1">
        <v>7.8680000000000003</v>
      </c>
      <c r="W7" s="1">
        <v>3.5419800000000001</v>
      </c>
      <c r="X7" s="1">
        <v>7.4305000000000003</v>
      </c>
      <c r="Z7" s="1">
        <v>3.5447000000000002</v>
      </c>
      <c r="AA7" s="1">
        <v>10.734500000000001</v>
      </c>
      <c r="AB7" s="6"/>
      <c r="AC7" s="1">
        <v>3.5426600000000001</v>
      </c>
      <c r="AD7" s="1">
        <v>9.6824999999999992</v>
      </c>
      <c r="AF7" s="1">
        <v>3.53904</v>
      </c>
      <c r="AG7" s="1">
        <v>10.728999999999999</v>
      </c>
      <c r="AI7" s="1">
        <v>3.5375899999999998</v>
      </c>
      <c r="AJ7" s="1">
        <v>4.9245000000000001</v>
      </c>
      <c r="AK7" s="6"/>
      <c r="AM7" s="1">
        <v>3.5375800000000002</v>
      </c>
      <c r="AN7" s="1">
        <v>17.806000000000001</v>
      </c>
      <c r="AP7" s="1">
        <v>3.5374599999999998</v>
      </c>
      <c r="AQ7" s="1">
        <v>2.9005000000000001</v>
      </c>
      <c r="AS7" s="1">
        <v>3.53904</v>
      </c>
      <c r="AT7" s="1">
        <v>7.6144999999999996</v>
      </c>
    </row>
    <row r="8" spans="1:46" x14ac:dyDescent="0.2">
      <c r="B8" s="1">
        <v>4.7100999999999997</v>
      </c>
      <c r="C8" s="1">
        <v>20.9785</v>
      </c>
      <c r="E8" s="1">
        <v>4.5433300000000001</v>
      </c>
      <c r="F8" s="1">
        <v>17.428000000000001</v>
      </c>
      <c r="H8" s="1">
        <v>4.5505899999999997</v>
      </c>
      <c r="I8" s="1">
        <v>16.2605</v>
      </c>
      <c r="J8" s="6"/>
      <c r="K8" s="1">
        <v>4.54549</v>
      </c>
      <c r="L8" s="1">
        <v>20.389500000000002</v>
      </c>
      <c r="N8" s="1">
        <v>4.5424100000000003</v>
      </c>
      <c r="O8" s="1">
        <v>9.5350000000000001</v>
      </c>
      <c r="Q8" s="1">
        <v>4.5436199999999998</v>
      </c>
      <c r="R8" s="1">
        <v>8.0274999999999999</v>
      </c>
      <c r="S8" s="6"/>
      <c r="T8" s="1">
        <v>4.5521500000000001</v>
      </c>
      <c r="U8" s="1">
        <v>7.8775000000000004</v>
      </c>
      <c r="W8" s="1">
        <v>4.5478899999999998</v>
      </c>
      <c r="X8" s="1">
        <v>7.4690000000000003</v>
      </c>
      <c r="Z8" s="1">
        <v>4.5532700000000004</v>
      </c>
      <c r="AA8" s="1">
        <v>10.7645</v>
      </c>
      <c r="AB8" s="6"/>
      <c r="AC8" s="1">
        <v>4.5493600000000001</v>
      </c>
      <c r="AD8" s="1">
        <v>9.718</v>
      </c>
      <c r="AF8" s="1">
        <v>4.5440300000000002</v>
      </c>
      <c r="AG8" s="1">
        <v>10.789</v>
      </c>
      <c r="AI8" s="1">
        <v>4.5453900000000003</v>
      </c>
      <c r="AJ8" s="1">
        <v>4.9935</v>
      </c>
      <c r="AK8" s="6"/>
      <c r="AM8" s="1">
        <v>4.5463500000000003</v>
      </c>
      <c r="AN8" s="1">
        <v>17.812000000000001</v>
      </c>
      <c r="AP8" s="1">
        <v>4.5423499999999999</v>
      </c>
      <c r="AQ8" s="1">
        <v>2.9119999999999999</v>
      </c>
      <c r="AS8" s="1">
        <v>4.5476200000000002</v>
      </c>
      <c r="AT8" s="1">
        <v>7.6544999999999996</v>
      </c>
    </row>
    <row r="9" spans="1:46" x14ac:dyDescent="0.2">
      <c r="B9" s="1">
        <v>5.7161900000000001</v>
      </c>
      <c r="C9" s="1">
        <v>20.980499999999999</v>
      </c>
      <c r="E9" s="1">
        <v>5.5485800000000003</v>
      </c>
      <c r="F9" s="1">
        <v>17.451499999999999</v>
      </c>
      <c r="H9" s="1">
        <v>5.5581899999999997</v>
      </c>
      <c r="I9" s="1">
        <v>16.285</v>
      </c>
      <c r="J9" s="6"/>
      <c r="K9" s="1">
        <v>5.5495599999999996</v>
      </c>
      <c r="L9" s="1">
        <v>20.41</v>
      </c>
      <c r="N9" s="1">
        <v>5.5488299999999997</v>
      </c>
      <c r="O9" s="1">
        <v>9.5690000000000008</v>
      </c>
      <c r="Q9" s="1">
        <v>5.5559399999999997</v>
      </c>
      <c r="R9" s="1">
        <v>8.0495000000000001</v>
      </c>
      <c r="S9" s="6"/>
      <c r="T9" s="1">
        <v>5.5567099999999998</v>
      </c>
      <c r="U9" s="1">
        <v>7.8840000000000003</v>
      </c>
      <c r="W9" s="1">
        <v>5.5544700000000002</v>
      </c>
      <c r="X9" s="1">
        <v>7.4939999999999998</v>
      </c>
      <c r="Z9" s="1">
        <v>5.5589899999999997</v>
      </c>
      <c r="AA9" s="1">
        <v>10.784000000000001</v>
      </c>
      <c r="AB9" s="6"/>
      <c r="AC9" s="1">
        <v>5.5541799999999997</v>
      </c>
      <c r="AD9" s="1">
        <v>9.7509999999999994</v>
      </c>
      <c r="AF9" s="1">
        <v>5.5494700000000003</v>
      </c>
      <c r="AG9" s="1">
        <v>10.842000000000001</v>
      </c>
      <c r="AI9" s="1">
        <v>5.5483500000000001</v>
      </c>
      <c r="AJ9" s="1">
        <v>5.0625</v>
      </c>
      <c r="AK9" s="6"/>
      <c r="AM9" s="1">
        <v>5.5521900000000004</v>
      </c>
      <c r="AN9" s="1">
        <v>17.819500000000001</v>
      </c>
      <c r="AP9" s="1">
        <v>5.5505800000000001</v>
      </c>
      <c r="AQ9" s="1">
        <v>2.9159999999999999</v>
      </c>
      <c r="AS9" s="1">
        <v>5.5526600000000004</v>
      </c>
      <c r="AT9" s="1">
        <v>7.7009999999999996</v>
      </c>
    </row>
    <row r="10" spans="1:46" x14ac:dyDescent="0.2">
      <c r="B10" s="1">
        <v>6.7193399999999999</v>
      </c>
      <c r="C10" s="1">
        <v>20.975999999999999</v>
      </c>
      <c r="E10" s="1">
        <v>6.5568</v>
      </c>
      <c r="F10" s="1">
        <v>17.466000000000001</v>
      </c>
      <c r="H10" s="1">
        <v>6.5625900000000001</v>
      </c>
      <c r="I10" s="1">
        <v>16.315000000000001</v>
      </c>
      <c r="J10" s="6"/>
      <c r="K10" s="1">
        <v>6.55185</v>
      </c>
      <c r="L10" s="1">
        <v>20.425000000000001</v>
      </c>
      <c r="N10" s="1">
        <v>6.5553299999999997</v>
      </c>
      <c r="O10" s="1">
        <v>9.5954999999999995</v>
      </c>
      <c r="Q10" s="1">
        <v>6.5646899999999997</v>
      </c>
      <c r="R10" s="1">
        <v>8.08</v>
      </c>
      <c r="S10" s="6"/>
      <c r="T10" s="1">
        <v>6.5618299999999996</v>
      </c>
      <c r="U10" s="1">
        <v>7.9009999999999998</v>
      </c>
      <c r="W10" s="1">
        <v>6.5591600000000003</v>
      </c>
      <c r="X10" s="1">
        <v>7.5285000000000002</v>
      </c>
      <c r="Z10" s="1">
        <v>6.5648400000000002</v>
      </c>
      <c r="AA10" s="1">
        <v>10.803000000000001</v>
      </c>
      <c r="AB10" s="6"/>
      <c r="AC10" s="1">
        <v>6.5604899999999997</v>
      </c>
      <c r="AD10" s="1">
        <v>9.7739999999999991</v>
      </c>
      <c r="AF10" s="1">
        <v>6.5579900000000002</v>
      </c>
      <c r="AG10" s="1">
        <v>10.891999999999999</v>
      </c>
      <c r="AI10" s="1">
        <v>6.55518</v>
      </c>
      <c r="AJ10" s="1">
        <v>5.117</v>
      </c>
      <c r="AK10" s="6"/>
      <c r="AM10" s="1">
        <v>6.5565899999999999</v>
      </c>
      <c r="AN10" s="1">
        <v>17.829499999999999</v>
      </c>
      <c r="AP10" s="1">
        <v>6.5566199999999997</v>
      </c>
      <c r="AQ10" s="1">
        <v>2.9215</v>
      </c>
      <c r="AS10" s="1">
        <v>6.5598700000000001</v>
      </c>
      <c r="AT10" s="1">
        <v>7.7394999999999996</v>
      </c>
    </row>
    <row r="11" spans="1:46" x14ac:dyDescent="0.2">
      <c r="B11" s="1">
        <v>7.7258199999999997</v>
      </c>
      <c r="C11" s="1">
        <v>20.972000000000001</v>
      </c>
      <c r="E11" s="1">
        <v>7.5636700000000001</v>
      </c>
      <c r="F11" s="1">
        <v>17.470500000000001</v>
      </c>
      <c r="H11" s="1">
        <v>7.5695499999999996</v>
      </c>
      <c r="I11" s="1">
        <v>16.336500000000001</v>
      </c>
      <c r="J11" s="6"/>
      <c r="K11" s="1">
        <v>7.5543699999999996</v>
      </c>
      <c r="L11" s="1">
        <v>20.447500000000002</v>
      </c>
      <c r="N11" s="1">
        <v>7.5603300000000004</v>
      </c>
      <c r="O11" s="1">
        <v>9.6219999999999999</v>
      </c>
      <c r="Q11" s="1">
        <v>7.5701799999999997</v>
      </c>
      <c r="R11" s="1">
        <v>8.1024999999999991</v>
      </c>
      <c r="S11" s="6"/>
      <c r="T11" s="1">
        <v>7.56881</v>
      </c>
      <c r="U11" s="1">
        <v>7.9184999999999999</v>
      </c>
      <c r="W11" s="1">
        <v>7.5635199999999996</v>
      </c>
      <c r="X11" s="1">
        <v>7.56</v>
      </c>
      <c r="Z11" s="1">
        <v>7.5711599999999999</v>
      </c>
      <c r="AA11" s="1">
        <v>10.826499999999999</v>
      </c>
      <c r="AB11" s="6"/>
      <c r="AC11" s="1">
        <v>7.5682600000000004</v>
      </c>
      <c r="AD11" s="1">
        <v>9.7965</v>
      </c>
      <c r="AF11" s="1">
        <v>7.56243</v>
      </c>
      <c r="AG11" s="1">
        <v>10.942</v>
      </c>
      <c r="AI11" s="1">
        <v>7.5640000000000001</v>
      </c>
      <c r="AJ11" s="1">
        <v>5.165</v>
      </c>
      <c r="AK11" s="6"/>
      <c r="AM11" s="1">
        <v>7.5639799999999999</v>
      </c>
      <c r="AN11" s="1">
        <v>17.835000000000001</v>
      </c>
      <c r="AP11" s="1">
        <v>7.5622199999999999</v>
      </c>
      <c r="AQ11" s="1">
        <v>2.9209999999999998</v>
      </c>
      <c r="AS11" s="1">
        <v>7.5680899999999998</v>
      </c>
      <c r="AT11" s="1">
        <v>7.7809999999999997</v>
      </c>
    </row>
    <row r="12" spans="1:46" x14ac:dyDescent="0.2">
      <c r="B12" s="1">
        <v>8.7295200000000008</v>
      </c>
      <c r="C12" s="1">
        <v>20.972999999999999</v>
      </c>
      <c r="E12" s="1">
        <v>8.5708500000000001</v>
      </c>
      <c r="F12" s="1">
        <v>17.487500000000001</v>
      </c>
      <c r="H12" s="1">
        <v>8.5741700000000005</v>
      </c>
      <c r="I12" s="1">
        <v>16.357500000000002</v>
      </c>
      <c r="J12" s="6"/>
      <c r="K12" s="1">
        <v>8.5611599999999992</v>
      </c>
      <c r="L12" s="1">
        <v>20.4665</v>
      </c>
      <c r="N12" s="1">
        <v>8.5651200000000003</v>
      </c>
      <c r="O12" s="1">
        <v>9.6445000000000007</v>
      </c>
      <c r="Q12" s="1">
        <v>8.5759299999999996</v>
      </c>
      <c r="R12" s="1">
        <v>8.1170000000000009</v>
      </c>
      <c r="S12" s="6"/>
      <c r="T12" s="1">
        <v>8.5778499999999998</v>
      </c>
      <c r="U12" s="1">
        <v>7.93</v>
      </c>
      <c r="W12" s="1">
        <v>8.5670099999999998</v>
      </c>
      <c r="X12" s="1">
        <v>7.5914999999999999</v>
      </c>
      <c r="Z12" s="1">
        <v>8.5768000000000004</v>
      </c>
      <c r="AA12" s="1">
        <v>10.8505</v>
      </c>
      <c r="AB12" s="6"/>
      <c r="AC12" s="1">
        <v>8.5710599999999992</v>
      </c>
      <c r="AD12" s="1">
        <v>9.8254999999999999</v>
      </c>
      <c r="AF12" s="1">
        <v>8.5673100000000009</v>
      </c>
      <c r="AG12" s="1">
        <v>10.978999999999999</v>
      </c>
      <c r="AI12" s="1">
        <v>8.5700199999999995</v>
      </c>
      <c r="AJ12" s="1">
        <v>5.2035</v>
      </c>
      <c r="AK12" s="6"/>
      <c r="AM12" s="1">
        <v>8.5677000000000003</v>
      </c>
      <c r="AN12" s="1">
        <v>17.829000000000001</v>
      </c>
      <c r="AP12" s="1">
        <v>8.5667100000000005</v>
      </c>
      <c r="AQ12" s="1">
        <v>2.9049999999999998</v>
      </c>
      <c r="AS12" s="1">
        <v>8.5737799999999993</v>
      </c>
      <c r="AT12" s="1">
        <v>7.8079999999999998</v>
      </c>
    </row>
    <row r="13" spans="1:46" x14ac:dyDescent="0.2">
      <c r="B13" s="1">
        <v>9.7357899999999997</v>
      </c>
      <c r="C13" s="1">
        <v>20.966000000000001</v>
      </c>
      <c r="E13" s="1">
        <v>9.5760000000000005</v>
      </c>
      <c r="F13" s="1">
        <v>17.4925</v>
      </c>
      <c r="H13" s="1">
        <v>9.5808499999999999</v>
      </c>
      <c r="I13" s="1">
        <v>16.38</v>
      </c>
      <c r="J13" s="6"/>
      <c r="K13" s="1">
        <v>9.5672999999999995</v>
      </c>
      <c r="L13" s="1">
        <v>20.477</v>
      </c>
      <c r="N13" s="1">
        <v>9.5711300000000001</v>
      </c>
      <c r="O13" s="1">
        <v>9.6760000000000002</v>
      </c>
      <c r="Q13" s="1">
        <v>9.5843000000000007</v>
      </c>
      <c r="R13" s="1">
        <v>8.1415000000000006</v>
      </c>
      <c r="S13" s="6"/>
      <c r="T13" s="1">
        <v>9.5836699999999997</v>
      </c>
      <c r="U13" s="1">
        <v>7.9409999999999998</v>
      </c>
      <c r="W13" s="1">
        <v>9.5727100000000007</v>
      </c>
      <c r="X13" s="1">
        <v>7.6174999999999997</v>
      </c>
      <c r="Z13" s="1">
        <v>9.5832499999999996</v>
      </c>
      <c r="AA13" s="1">
        <v>10.862</v>
      </c>
      <c r="AB13" s="6"/>
      <c r="AC13" s="1">
        <v>9.5786899999999999</v>
      </c>
      <c r="AD13" s="1">
        <v>9.843</v>
      </c>
      <c r="AF13" s="1">
        <v>9.5698600000000003</v>
      </c>
      <c r="AG13" s="1">
        <v>11.023</v>
      </c>
      <c r="AI13" s="1">
        <v>9.5764700000000005</v>
      </c>
      <c r="AJ13" s="1">
        <v>5.2484999999999999</v>
      </c>
      <c r="AK13" s="6"/>
      <c r="AM13" s="1">
        <v>9.5737500000000004</v>
      </c>
      <c r="AN13" s="1">
        <v>17.832999999999998</v>
      </c>
      <c r="AP13" s="1">
        <v>9.5732499999999998</v>
      </c>
      <c r="AQ13" s="1">
        <v>2.8889999999999998</v>
      </c>
      <c r="AS13" s="1">
        <v>9.5810899999999997</v>
      </c>
      <c r="AT13" s="1">
        <v>7.8390000000000004</v>
      </c>
    </row>
    <row r="14" spans="1:46" x14ac:dyDescent="0.2">
      <c r="B14" s="1">
        <v>10.740500000000001</v>
      </c>
      <c r="C14" s="1">
        <v>20.960999999999999</v>
      </c>
      <c r="E14" s="1">
        <v>10.5816</v>
      </c>
      <c r="F14" s="1">
        <v>17.496500000000001</v>
      </c>
      <c r="H14" s="1">
        <v>10.585000000000001</v>
      </c>
      <c r="I14" s="1">
        <v>16.391500000000001</v>
      </c>
      <c r="J14" s="6"/>
      <c r="K14" s="1">
        <v>10.5745</v>
      </c>
      <c r="L14" s="1">
        <v>20.486499999999999</v>
      </c>
      <c r="N14" s="1">
        <v>10.576499999999999</v>
      </c>
      <c r="O14" s="1">
        <v>9.6940000000000008</v>
      </c>
      <c r="Q14" s="1">
        <v>10.589600000000001</v>
      </c>
      <c r="R14" s="1">
        <v>8.1694999999999993</v>
      </c>
      <c r="S14" s="6"/>
      <c r="T14" s="1">
        <v>10.5877</v>
      </c>
      <c r="U14" s="1">
        <v>7.9480000000000004</v>
      </c>
      <c r="W14" s="1">
        <v>10.5794</v>
      </c>
      <c r="X14" s="1">
        <v>7.641</v>
      </c>
      <c r="Z14" s="1">
        <v>10.5875</v>
      </c>
      <c r="AA14" s="1">
        <v>10.8795</v>
      </c>
      <c r="AB14" s="6"/>
      <c r="AC14" s="1">
        <v>10.5845</v>
      </c>
      <c r="AD14" s="1">
        <v>9.8550000000000004</v>
      </c>
      <c r="AF14" s="1">
        <v>10.5741</v>
      </c>
      <c r="AG14" s="1">
        <v>11.057499999999999</v>
      </c>
      <c r="AI14" s="1">
        <v>10.5839</v>
      </c>
      <c r="AJ14" s="1">
        <v>5.2930000000000001</v>
      </c>
      <c r="AK14" s="6"/>
      <c r="AM14" s="1">
        <v>10.582599999999999</v>
      </c>
      <c r="AN14" s="1">
        <v>17.827000000000002</v>
      </c>
      <c r="AP14" s="1">
        <v>10.5787</v>
      </c>
      <c r="AQ14" s="1">
        <v>2.8675000000000002</v>
      </c>
      <c r="AS14" s="1">
        <v>10.586399999999999</v>
      </c>
      <c r="AT14" s="1">
        <v>7.8715000000000002</v>
      </c>
    </row>
    <row r="15" spans="1:46" x14ac:dyDescent="0.2">
      <c r="B15" s="1">
        <v>11.7461</v>
      </c>
      <c r="C15" s="1">
        <v>20.9575</v>
      </c>
      <c r="E15" s="1">
        <v>11.5878</v>
      </c>
      <c r="F15" s="1">
        <v>17.503</v>
      </c>
      <c r="H15" s="1">
        <v>11.5899</v>
      </c>
      <c r="I15" s="1">
        <v>16.4055</v>
      </c>
      <c r="J15" s="6"/>
      <c r="K15" s="1">
        <v>11.5768</v>
      </c>
      <c r="L15" s="1">
        <v>20.5</v>
      </c>
      <c r="N15" s="1">
        <v>11.580399999999999</v>
      </c>
      <c r="O15" s="1">
        <v>9.7114999999999991</v>
      </c>
      <c r="Q15" s="1">
        <v>11.597899999999999</v>
      </c>
      <c r="R15" s="1">
        <v>8.1854999999999993</v>
      </c>
      <c r="S15" s="6"/>
      <c r="T15" s="1">
        <v>11.591699999999999</v>
      </c>
      <c r="U15" s="1">
        <v>7.9574999999999996</v>
      </c>
      <c r="W15" s="1">
        <v>11.5844</v>
      </c>
      <c r="X15" s="1">
        <v>7.6665000000000001</v>
      </c>
      <c r="Z15" s="1">
        <v>11.592499999999999</v>
      </c>
      <c r="AA15" s="1">
        <v>10.888</v>
      </c>
      <c r="AB15" s="6"/>
      <c r="AC15" s="1">
        <v>11.589700000000001</v>
      </c>
      <c r="AD15" s="1">
        <v>9.8755000000000006</v>
      </c>
      <c r="AF15" s="1">
        <v>11.5809</v>
      </c>
      <c r="AG15" s="1">
        <v>11.093</v>
      </c>
      <c r="AI15" s="1">
        <v>11.5886</v>
      </c>
      <c r="AJ15" s="1">
        <v>5.3289999999999997</v>
      </c>
      <c r="AK15" s="6"/>
      <c r="AM15" s="1">
        <v>11.5892</v>
      </c>
      <c r="AN15" s="1">
        <v>17.812999999999999</v>
      </c>
      <c r="AP15" s="1">
        <v>11.5878</v>
      </c>
      <c r="AQ15" s="1">
        <v>2.8405</v>
      </c>
      <c r="AS15" s="1">
        <v>11.594900000000001</v>
      </c>
      <c r="AT15" s="1">
        <v>7.883</v>
      </c>
    </row>
    <row r="16" spans="1:46" x14ac:dyDescent="0.2">
      <c r="B16" s="1">
        <v>12.7506</v>
      </c>
      <c r="C16" s="1">
        <v>20.946999999999999</v>
      </c>
      <c r="E16" s="1">
        <v>12.594799999999999</v>
      </c>
      <c r="F16" s="1">
        <v>17.512</v>
      </c>
      <c r="H16" s="1">
        <v>12.5953</v>
      </c>
      <c r="I16" s="1">
        <v>16.432500000000001</v>
      </c>
      <c r="J16" s="6"/>
      <c r="K16" s="1">
        <v>12.5822</v>
      </c>
      <c r="L16" s="1">
        <v>20.507999999999999</v>
      </c>
      <c r="N16" s="1">
        <v>12.585699999999999</v>
      </c>
      <c r="O16" s="1">
        <v>9.7255000000000003</v>
      </c>
      <c r="Q16" s="1">
        <v>12.6043</v>
      </c>
      <c r="R16" s="1">
        <v>8.1959999999999997</v>
      </c>
      <c r="S16" s="6"/>
      <c r="T16" s="1">
        <v>12.598100000000001</v>
      </c>
      <c r="U16" s="1">
        <v>7.9604999999999997</v>
      </c>
      <c r="W16" s="1">
        <v>12.589399999999999</v>
      </c>
      <c r="X16" s="1">
        <v>7.6835000000000004</v>
      </c>
      <c r="Z16" s="1">
        <v>12.5976</v>
      </c>
      <c r="AA16" s="1">
        <v>10.8965</v>
      </c>
      <c r="AB16" s="6"/>
      <c r="AC16" s="1">
        <v>12.5932</v>
      </c>
      <c r="AD16" s="1">
        <v>9.89</v>
      </c>
      <c r="AF16" s="1">
        <v>12.587400000000001</v>
      </c>
      <c r="AG16" s="1">
        <v>11.118</v>
      </c>
      <c r="AI16" s="1">
        <v>12.5947</v>
      </c>
      <c r="AJ16" s="1">
        <v>5.3464999999999998</v>
      </c>
      <c r="AK16" s="6"/>
      <c r="AM16" s="1">
        <v>12.5947</v>
      </c>
      <c r="AN16" s="1">
        <v>17.788499999999999</v>
      </c>
      <c r="AP16" s="1">
        <v>12.5924</v>
      </c>
      <c r="AQ16" s="1">
        <v>2.8069999999999999</v>
      </c>
      <c r="AS16" s="1">
        <v>12.602600000000001</v>
      </c>
      <c r="AT16" s="1">
        <v>7.9055</v>
      </c>
    </row>
    <row r="17" spans="2:46" x14ac:dyDescent="0.2">
      <c r="B17" s="1">
        <v>13.7553</v>
      </c>
      <c r="C17" s="1">
        <v>20.938500000000001</v>
      </c>
      <c r="E17" s="1">
        <v>13.598000000000001</v>
      </c>
      <c r="F17" s="1">
        <v>17.515999999999998</v>
      </c>
      <c r="H17" s="1">
        <v>13.6</v>
      </c>
      <c r="I17" s="1">
        <v>16.440999999999999</v>
      </c>
      <c r="J17" s="6"/>
      <c r="K17" s="1">
        <v>13.586600000000001</v>
      </c>
      <c r="L17" s="1">
        <v>20.5185</v>
      </c>
      <c r="N17" s="1">
        <v>13.5937</v>
      </c>
      <c r="O17" s="1">
        <v>9.7355</v>
      </c>
      <c r="Q17" s="1">
        <v>13.6113</v>
      </c>
      <c r="R17" s="1">
        <v>8.2144999999999992</v>
      </c>
      <c r="S17" s="6"/>
      <c r="T17" s="1">
        <v>13.602</v>
      </c>
      <c r="U17" s="1">
        <v>7.9664999999999999</v>
      </c>
      <c r="W17" s="1">
        <v>13.5937</v>
      </c>
      <c r="X17" s="1">
        <v>7.6905000000000001</v>
      </c>
      <c r="Z17" s="1">
        <v>13.603300000000001</v>
      </c>
      <c r="AA17" s="1">
        <v>10.8925</v>
      </c>
      <c r="AB17" s="6"/>
      <c r="AC17" s="1">
        <v>13.5975</v>
      </c>
      <c r="AD17" s="1">
        <v>9.9079999999999995</v>
      </c>
      <c r="AF17" s="1">
        <v>13.592499999999999</v>
      </c>
      <c r="AG17" s="1">
        <v>11.137499999999999</v>
      </c>
      <c r="AI17" s="1">
        <v>13.599</v>
      </c>
      <c r="AJ17" s="1">
        <v>5.3550000000000004</v>
      </c>
      <c r="AK17" s="6"/>
      <c r="AM17" s="1">
        <v>13.6007</v>
      </c>
      <c r="AN17" s="1">
        <v>17.763000000000002</v>
      </c>
      <c r="AP17" s="1">
        <v>13.600199999999999</v>
      </c>
      <c r="AQ17" s="1">
        <v>2.774</v>
      </c>
      <c r="AS17" s="1">
        <v>13.6074</v>
      </c>
      <c r="AT17" s="1">
        <v>7.9180000000000001</v>
      </c>
    </row>
    <row r="18" spans="2:46" x14ac:dyDescent="0.2">
      <c r="B18" s="1">
        <v>14.7598</v>
      </c>
      <c r="C18" s="1">
        <v>20.937000000000001</v>
      </c>
      <c r="E18" s="1">
        <v>14.602499999999999</v>
      </c>
      <c r="F18" s="1">
        <v>17.526</v>
      </c>
      <c r="H18" s="1">
        <v>14.603999999999999</v>
      </c>
      <c r="I18" s="1">
        <v>16.461500000000001</v>
      </c>
      <c r="J18" s="6"/>
      <c r="K18" s="1">
        <v>14.591699999999999</v>
      </c>
      <c r="L18" s="1">
        <v>20.524999999999999</v>
      </c>
      <c r="N18" s="1">
        <v>14.603199999999999</v>
      </c>
      <c r="O18" s="1">
        <v>9.7430000000000003</v>
      </c>
      <c r="Q18" s="1">
        <v>14.6168</v>
      </c>
      <c r="R18" s="1">
        <v>8.2355</v>
      </c>
      <c r="S18" s="6"/>
      <c r="T18" s="1">
        <v>14.607900000000001</v>
      </c>
      <c r="U18" s="1">
        <v>7.9625000000000004</v>
      </c>
      <c r="W18" s="1">
        <v>14.601800000000001</v>
      </c>
      <c r="X18" s="1">
        <v>7.7060000000000004</v>
      </c>
      <c r="Z18" s="1">
        <v>14.609500000000001</v>
      </c>
      <c r="AA18" s="1">
        <v>10.888999999999999</v>
      </c>
      <c r="AB18" s="6"/>
      <c r="AC18" s="1">
        <v>14.6</v>
      </c>
      <c r="AD18" s="1">
        <v>9.9265000000000008</v>
      </c>
      <c r="AF18" s="1">
        <v>14.5974</v>
      </c>
      <c r="AG18" s="1">
        <v>11.1515</v>
      </c>
      <c r="AI18" s="1">
        <v>14.604699999999999</v>
      </c>
      <c r="AJ18" s="1">
        <v>5.3605</v>
      </c>
      <c r="AK18" s="6"/>
      <c r="AM18" s="1">
        <v>14.606</v>
      </c>
      <c r="AN18" s="1">
        <v>17.728000000000002</v>
      </c>
      <c r="AP18" s="1">
        <v>14.605399999999999</v>
      </c>
      <c r="AQ18" s="1">
        <v>2.7385000000000002</v>
      </c>
      <c r="AS18" s="1">
        <v>14.613</v>
      </c>
      <c r="AT18" s="1">
        <v>7.9135</v>
      </c>
    </row>
    <row r="19" spans="2:46" x14ac:dyDescent="0.2">
      <c r="B19" s="1">
        <v>15.7658</v>
      </c>
      <c r="C19" s="1">
        <v>20.930499999999999</v>
      </c>
      <c r="E19" s="1">
        <v>15.609400000000001</v>
      </c>
      <c r="F19" s="1">
        <v>17.5305</v>
      </c>
      <c r="H19" s="1">
        <v>15.610300000000001</v>
      </c>
      <c r="I19" s="1">
        <v>16.47</v>
      </c>
      <c r="J19" s="6"/>
      <c r="K19" s="1">
        <v>15.5999</v>
      </c>
      <c r="L19" s="1">
        <v>20.522500000000001</v>
      </c>
      <c r="N19" s="1">
        <v>15.6111</v>
      </c>
      <c r="O19" s="1">
        <v>9.7575000000000003</v>
      </c>
      <c r="Q19" s="1">
        <v>15.620900000000001</v>
      </c>
      <c r="R19" s="1">
        <v>8.2420000000000009</v>
      </c>
      <c r="S19" s="6"/>
      <c r="T19" s="1">
        <v>15.613</v>
      </c>
      <c r="U19" s="1">
        <v>7.9640000000000004</v>
      </c>
      <c r="W19" s="1">
        <v>15.608499999999999</v>
      </c>
      <c r="X19" s="1">
        <v>7.7069999999999999</v>
      </c>
      <c r="Z19" s="1">
        <v>15.6153</v>
      </c>
      <c r="AA19" s="1">
        <v>10.874000000000001</v>
      </c>
      <c r="AB19" s="6"/>
      <c r="AC19" s="1">
        <v>15.6043</v>
      </c>
      <c r="AD19" s="1">
        <v>9.9420000000000002</v>
      </c>
      <c r="AF19" s="1">
        <v>15.6028</v>
      </c>
      <c r="AG19" s="1">
        <v>11.153499999999999</v>
      </c>
      <c r="AI19" s="1">
        <v>15.610099999999999</v>
      </c>
      <c r="AJ19" s="1">
        <v>5.3654999999999999</v>
      </c>
      <c r="AK19" s="6"/>
      <c r="AM19" s="1">
        <v>15.6127</v>
      </c>
      <c r="AN19" s="1">
        <v>17.690999999999999</v>
      </c>
      <c r="AP19" s="1">
        <v>15.6122</v>
      </c>
      <c r="AQ19" s="1">
        <v>2.6989999999999998</v>
      </c>
      <c r="AS19" s="1">
        <v>15.6173</v>
      </c>
      <c r="AT19" s="1">
        <v>7.8944999999999999</v>
      </c>
    </row>
    <row r="20" spans="2:46" x14ac:dyDescent="0.2">
      <c r="B20" s="1">
        <v>16.771000000000001</v>
      </c>
      <c r="C20" s="1">
        <v>20.929500000000001</v>
      </c>
      <c r="E20" s="1">
        <v>16.615400000000001</v>
      </c>
      <c r="F20" s="1">
        <v>17.524000000000001</v>
      </c>
      <c r="H20" s="1">
        <v>16.6187</v>
      </c>
      <c r="I20" s="1">
        <v>16.464500000000001</v>
      </c>
      <c r="J20" s="6"/>
      <c r="K20" s="1">
        <v>16.605899999999998</v>
      </c>
      <c r="L20" s="1">
        <v>20.518999999999998</v>
      </c>
      <c r="N20" s="1">
        <v>16.619599999999998</v>
      </c>
      <c r="O20" s="1">
        <v>9.77</v>
      </c>
      <c r="Q20" s="1">
        <v>16.624700000000001</v>
      </c>
      <c r="R20" s="1">
        <v>8.2579999999999991</v>
      </c>
      <c r="S20" s="6"/>
      <c r="T20" s="1">
        <v>16.619299999999999</v>
      </c>
      <c r="U20" s="1">
        <v>7.9515000000000002</v>
      </c>
      <c r="W20" s="1">
        <v>16.615600000000001</v>
      </c>
      <c r="X20" s="1">
        <v>7.7009999999999996</v>
      </c>
      <c r="Z20" s="1">
        <v>16.6251</v>
      </c>
      <c r="AA20" s="1">
        <v>10.855</v>
      </c>
      <c r="AB20" s="6"/>
      <c r="AC20" s="1">
        <v>16.610199999999999</v>
      </c>
      <c r="AD20" s="1">
        <v>9.9459999999999997</v>
      </c>
      <c r="AF20" s="1">
        <v>16.608000000000001</v>
      </c>
      <c r="AG20" s="1">
        <v>11.1525</v>
      </c>
      <c r="AI20" s="1">
        <v>16.615500000000001</v>
      </c>
      <c r="AJ20" s="1">
        <v>5.3544999999999998</v>
      </c>
      <c r="AK20" s="6"/>
      <c r="AM20" s="1">
        <v>16.620699999999999</v>
      </c>
      <c r="AN20" s="1">
        <v>17.635999999999999</v>
      </c>
      <c r="AP20" s="1">
        <v>16.621099999999998</v>
      </c>
      <c r="AQ20" s="1">
        <v>2.6535000000000002</v>
      </c>
      <c r="AS20" s="1">
        <v>16.623000000000001</v>
      </c>
      <c r="AT20" s="1">
        <v>7.8914999999999997</v>
      </c>
    </row>
    <row r="21" spans="2:46" x14ac:dyDescent="0.2">
      <c r="B21" s="1">
        <v>17.776599999999998</v>
      </c>
      <c r="C21" s="1">
        <v>20.909500000000001</v>
      </c>
      <c r="E21" s="1">
        <v>17.6221</v>
      </c>
      <c r="F21" s="1">
        <v>17.529</v>
      </c>
      <c r="H21" s="1">
        <v>17.620799999999999</v>
      </c>
      <c r="I21" s="1">
        <v>16.471499999999999</v>
      </c>
      <c r="J21" s="6"/>
      <c r="K21" s="1">
        <v>17.611799999999999</v>
      </c>
      <c r="L21" s="1">
        <v>20.516999999999999</v>
      </c>
      <c r="N21" s="1">
        <v>17.625399999999999</v>
      </c>
      <c r="O21" s="1">
        <v>9.7805</v>
      </c>
      <c r="Q21" s="1">
        <v>17.628799999999998</v>
      </c>
      <c r="R21" s="1">
        <v>8.2565000000000008</v>
      </c>
      <c r="S21" s="6"/>
      <c r="T21" s="1">
        <v>17.626100000000001</v>
      </c>
      <c r="U21" s="1">
        <v>7.9320000000000004</v>
      </c>
      <c r="W21" s="1">
        <v>17.623999999999999</v>
      </c>
      <c r="X21" s="1">
        <v>7.7</v>
      </c>
      <c r="Z21" s="1">
        <v>17.629000000000001</v>
      </c>
      <c r="AA21" s="1">
        <v>10.8315</v>
      </c>
      <c r="AB21" s="6"/>
      <c r="AC21" s="1">
        <v>17.6172</v>
      </c>
      <c r="AD21" s="1">
        <v>9.9565000000000001</v>
      </c>
      <c r="AF21" s="1">
        <v>17.612400000000001</v>
      </c>
      <c r="AG21" s="1">
        <v>11.14</v>
      </c>
      <c r="AI21" s="1">
        <v>17.6233</v>
      </c>
      <c r="AJ21" s="1">
        <v>5.3380000000000001</v>
      </c>
      <c r="AK21" s="6"/>
      <c r="AM21" s="1">
        <v>17.625399999999999</v>
      </c>
      <c r="AN21" s="1">
        <v>17.584499999999998</v>
      </c>
      <c r="AP21" s="1">
        <v>17.6279</v>
      </c>
      <c r="AQ21" s="1">
        <v>2.6004999999999998</v>
      </c>
      <c r="AS21" s="1">
        <v>17.6326</v>
      </c>
      <c r="AT21" s="1">
        <v>7.8624999999999998</v>
      </c>
    </row>
    <row r="22" spans="2:46" x14ac:dyDescent="0.2">
      <c r="B22" s="1">
        <v>18.7807</v>
      </c>
      <c r="C22" s="1">
        <v>20.894500000000001</v>
      </c>
      <c r="E22" s="1">
        <v>18.628499999999999</v>
      </c>
      <c r="F22" s="1">
        <v>17.53</v>
      </c>
      <c r="H22" s="1">
        <v>18.627300000000002</v>
      </c>
      <c r="I22" s="1">
        <v>16.460999999999999</v>
      </c>
      <c r="J22" s="6"/>
      <c r="K22" s="1">
        <v>18.618099999999998</v>
      </c>
      <c r="L22" s="1">
        <v>20.502500000000001</v>
      </c>
      <c r="N22" s="1">
        <v>18.628900000000002</v>
      </c>
      <c r="O22" s="1">
        <v>9.7899999999999991</v>
      </c>
      <c r="Q22" s="1">
        <v>18.6343</v>
      </c>
      <c r="R22" s="1">
        <v>8.2579999999999991</v>
      </c>
      <c r="S22" s="6"/>
      <c r="T22" s="1">
        <v>18.6312</v>
      </c>
      <c r="U22" s="1">
        <v>7.9195000000000002</v>
      </c>
      <c r="W22" s="1">
        <v>18.628799999999998</v>
      </c>
      <c r="X22" s="1">
        <v>7.6840000000000002</v>
      </c>
      <c r="Z22" s="1">
        <v>18.632899999999999</v>
      </c>
      <c r="AA22" s="1">
        <v>10.795500000000001</v>
      </c>
      <c r="AB22" s="6"/>
      <c r="AC22" s="1">
        <v>18.623100000000001</v>
      </c>
      <c r="AD22" s="1">
        <v>9.9659999999999993</v>
      </c>
      <c r="AF22" s="1">
        <v>18.617899999999999</v>
      </c>
      <c r="AG22" s="1">
        <v>11.1175</v>
      </c>
      <c r="AI22" s="1">
        <v>18.631</v>
      </c>
      <c r="AJ22" s="1">
        <v>5.3105000000000002</v>
      </c>
      <c r="AK22" s="6"/>
      <c r="AM22" s="1">
        <v>18.631699999999999</v>
      </c>
      <c r="AN22" s="1">
        <v>17.516999999999999</v>
      </c>
      <c r="AP22" s="1">
        <v>18.632200000000001</v>
      </c>
      <c r="AQ22" s="1">
        <v>2.5499999999999998</v>
      </c>
      <c r="AS22" s="1">
        <v>18.640599999999999</v>
      </c>
      <c r="AT22" s="1">
        <v>7.8384999999999998</v>
      </c>
    </row>
    <row r="23" spans="2:46" x14ac:dyDescent="0.2">
      <c r="B23" s="1">
        <v>19.788900000000002</v>
      </c>
      <c r="C23" s="1">
        <v>20.882000000000001</v>
      </c>
      <c r="E23" s="1">
        <v>19.6356</v>
      </c>
      <c r="F23" s="1">
        <v>17.5245</v>
      </c>
      <c r="H23" s="1">
        <v>19.635100000000001</v>
      </c>
      <c r="I23" s="1">
        <v>16.4495</v>
      </c>
      <c r="J23" s="6"/>
      <c r="K23" s="1">
        <v>19.625800000000002</v>
      </c>
      <c r="L23" s="1">
        <v>20.481999999999999</v>
      </c>
      <c r="N23" s="1">
        <v>19.6325</v>
      </c>
      <c r="O23" s="1">
        <v>9.7919999999999998</v>
      </c>
      <c r="Q23" s="1">
        <v>19.638400000000001</v>
      </c>
      <c r="R23" s="1">
        <v>8.2614999999999998</v>
      </c>
      <c r="S23" s="6"/>
      <c r="T23" s="1">
        <v>19.634799999999998</v>
      </c>
      <c r="U23" s="1">
        <v>7.891</v>
      </c>
      <c r="W23" s="1">
        <v>19.636199999999999</v>
      </c>
      <c r="X23" s="1">
        <v>7.6719999999999997</v>
      </c>
      <c r="Z23" s="1">
        <v>19.637699999999999</v>
      </c>
      <c r="AA23" s="1">
        <v>10.771000000000001</v>
      </c>
      <c r="AB23" s="6"/>
      <c r="AC23" s="1">
        <v>19.6281</v>
      </c>
      <c r="AD23" s="1">
        <v>9.9629999999999992</v>
      </c>
      <c r="AF23" s="1">
        <v>19.6251</v>
      </c>
      <c r="AG23" s="1">
        <v>11.0985</v>
      </c>
      <c r="AI23" s="1">
        <v>19.6404</v>
      </c>
      <c r="AJ23" s="1">
        <v>5.28</v>
      </c>
      <c r="AK23" s="6"/>
      <c r="AM23" s="1">
        <v>19.6373</v>
      </c>
      <c r="AN23" s="1">
        <v>17.4435</v>
      </c>
      <c r="AP23" s="1">
        <v>19.636299999999999</v>
      </c>
      <c r="AQ23" s="1">
        <v>2.5005000000000002</v>
      </c>
      <c r="AS23" s="1">
        <v>19.645299999999999</v>
      </c>
      <c r="AT23" s="1">
        <v>7.8025000000000002</v>
      </c>
    </row>
    <row r="24" spans="2:46" x14ac:dyDescent="0.2">
      <c r="B24" s="1">
        <v>20.795200000000001</v>
      </c>
      <c r="C24" s="1">
        <v>20.857500000000002</v>
      </c>
      <c r="E24" s="1">
        <v>20.6418</v>
      </c>
      <c r="F24" s="1">
        <v>17.521000000000001</v>
      </c>
      <c r="H24" s="1">
        <v>20.6404</v>
      </c>
      <c r="I24" s="1">
        <v>16.428999999999998</v>
      </c>
      <c r="J24" s="6"/>
      <c r="K24" s="1">
        <v>20.6312</v>
      </c>
      <c r="L24" s="1">
        <v>20.4575</v>
      </c>
      <c r="N24" s="1">
        <v>20.636299999999999</v>
      </c>
      <c r="O24" s="1">
        <v>9.8055000000000003</v>
      </c>
      <c r="Q24" s="1">
        <v>20.645800000000001</v>
      </c>
      <c r="R24" s="1">
        <v>8.2479999999999993</v>
      </c>
      <c r="S24" s="6"/>
      <c r="T24" s="1">
        <v>20.639399999999998</v>
      </c>
      <c r="U24" s="1">
        <v>7.8689999999999998</v>
      </c>
      <c r="W24" s="1">
        <v>20.6431</v>
      </c>
      <c r="X24" s="1">
        <v>7.6470000000000002</v>
      </c>
      <c r="Z24" s="1">
        <v>20.642399999999999</v>
      </c>
      <c r="AA24" s="1">
        <v>10.734500000000001</v>
      </c>
      <c r="AB24" s="6"/>
      <c r="AC24" s="1">
        <v>20.633500000000002</v>
      </c>
      <c r="AD24" s="1">
        <v>9.9570000000000007</v>
      </c>
      <c r="AF24" s="1">
        <v>20.631900000000002</v>
      </c>
      <c r="AG24" s="1">
        <v>11.0525</v>
      </c>
      <c r="AI24" s="1">
        <v>20.6478</v>
      </c>
      <c r="AJ24" s="1">
        <v>5.2510000000000003</v>
      </c>
      <c r="AK24" s="6"/>
      <c r="AM24" s="1">
        <v>20.6447</v>
      </c>
      <c r="AN24" s="1">
        <v>17.369</v>
      </c>
      <c r="AP24" s="1">
        <v>20.641200000000001</v>
      </c>
      <c r="AQ24" s="1">
        <v>2.4514999999999998</v>
      </c>
      <c r="AS24" s="1">
        <v>20.653199999999998</v>
      </c>
      <c r="AT24" s="1">
        <v>7.7640000000000002</v>
      </c>
    </row>
    <row r="25" spans="2:46" x14ac:dyDescent="0.2">
      <c r="B25" s="1">
        <v>21.797799999999999</v>
      </c>
      <c r="C25" s="1">
        <v>20.832999999999998</v>
      </c>
      <c r="E25" s="1">
        <v>21.646599999999999</v>
      </c>
      <c r="F25" s="1">
        <v>17.512499999999999</v>
      </c>
      <c r="H25" s="1">
        <v>21.647300000000001</v>
      </c>
      <c r="I25" s="1">
        <v>16.406500000000001</v>
      </c>
      <c r="J25" s="6"/>
      <c r="K25" s="1">
        <v>21.639199999999999</v>
      </c>
      <c r="L25" s="1">
        <v>20.420000000000002</v>
      </c>
      <c r="N25" s="1">
        <v>21.6431</v>
      </c>
      <c r="O25" s="1">
        <v>9.8160000000000007</v>
      </c>
      <c r="Q25" s="1">
        <v>21.650600000000001</v>
      </c>
      <c r="R25" s="1">
        <v>8.2240000000000002</v>
      </c>
      <c r="S25" s="6"/>
      <c r="T25" s="1">
        <v>21.6433</v>
      </c>
      <c r="U25" s="1">
        <v>7.8319999999999999</v>
      </c>
      <c r="W25" s="1">
        <v>21.648499999999999</v>
      </c>
      <c r="X25" s="1">
        <v>7.6239999999999997</v>
      </c>
      <c r="Z25" s="1">
        <v>21.649100000000001</v>
      </c>
      <c r="AA25" s="1">
        <v>10.686999999999999</v>
      </c>
      <c r="AB25" s="6"/>
      <c r="AC25" s="1">
        <v>21.639099999999999</v>
      </c>
      <c r="AD25" s="1">
        <v>9.9480000000000004</v>
      </c>
      <c r="AF25" s="1">
        <v>21.635200000000001</v>
      </c>
      <c r="AG25" s="1">
        <v>11.012499999999999</v>
      </c>
      <c r="AI25" s="1">
        <v>21.654800000000002</v>
      </c>
      <c r="AJ25" s="1">
        <v>5.2140000000000004</v>
      </c>
      <c r="AK25" s="6"/>
      <c r="AM25" s="1">
        <v>21.649000000000001</v>
      </c>
      <c r="AN25" s="1">
        <v>17.29</v>
      </c>
      <c r="AP25" s="1">
        <v>21.646899999999999</v>
      </c>
      <c r="AQ25" s="1">
        <v>2.3944999999999999</v>
      </c>
      <c r="AS25" s="1">
        <v>21.6602</v>
      </c>
      <c r="AT25" s="1">
        <v>7.7190000000000003</v>
      </c>
    </row>
    <row r="26" spans="2:46" x14ac:dyDescent="0.2">
      <c r="B26" s="1">
        <v>22.803899999999999</v>
      </c>
      <c r="C26" s="1">
        <v>20.808</v>
      </c>
      <c r="E26" s="1">
        <v>22.653500000000001</v>
      </c>
      <c r="F26" s="1">
        <v>17.5045</v>
      </c>
      <c r="H26" s="1">
        <v>22.6539</v>
      </c>
      <c r="I26" s="1">
        <v>16.3795</v>
      </c>
      <c r="J26" s="6"/>
      <c r="K26" s="1">
        <v>22.645800000000001</v>
      </c>
      <c r="L26" s="1">
        <v>20.3825</v>
      </c>
      <c r="N26" s="1">
        <v>22.6479</v>
      </c>
      <c r="O26" s="1">
        <v>9.8170000000000002</v>
      </c>
      <c r="Q26" s="1">
        <v>22.654399999999999</v>
      </c>
      <c r="R26" s="1">
        <v>8.2029999999999994</v>
      </c>
      <c r="S26" s="6"/>
      <c r="T26" s="1">
        <v>22.648199999999999</v>
      </c>
      <c r="U26" s="1">
        <v>7.8129999999999997</v>
      </c>
      <c r="W26" s="1">
        <v>22.653099999999998</v>
      </c>
      <c r="X26" s="1">
        <v>7.5960000000000001</v>
      </c>
      <c r="Z26" s="1">
        <v>22.656199999999998</v>
      </c>
      <c r="AA26" s="1">
        <v>10.640499999999999</v>
      </c>
      <c r="AB26" s="6"/>
      <c r="AC26" s="1">
        <v>22.648399999999999</v>
      </c>
      <c r="AD26" s="1">
        <v>9.9254999999999995</v>
      </c>
      <c r="AF26" s="1">
        <v>22.642399999999999</v>
      </c>
      <c r="AG26" s="1">
        <v>10.974500000000001</v>
      </c>
      <c r="AI26" s="1">
        <v>22.660900000000002</v>
      </c>
      <c r="AJ26" s="1">
        <v>5.1775000000000002</v>
      </c>
      <c r="AK26" s="6"/>
      <c r="AM26" s="1">
        <v>22.6553</v>
      </c>
      <c r="AN26" s="1">
        <v>17.214500000000001</v>
      </c>
      <c r="AP26" s="1">
        <v>22.653600000000001</v>
      </c>
      <c r="AQ26" s="1">
        <v>2.3315000000000001</v>
      </c>
      <c r="AS26" s="1">
        <v>22.6678</v>
      </c>
      <c r="AT26" s="1">
        <v>7.6689999999999996</v>
      </c>
    </row>
    <row r="27" spans="2:46" x14ac:dyDescent="0.2">
      <c r="B27" s="1">
        <v>23.811499999999999</v>
      </c>
      <c r="C27" s="1">
        <v>20.766999999999999</v>
      </c>
      <c r="E27" s="1">
        <v>23.659099999999999</v>
      </c>
      <c r="F27" s="1">
        <v>17.495000000000001</v>
      </c>
      <c r="H27" s="1">
        <v>23.662700000000001</v>
      </c>
      <c r="I27" s="1">
        <v>16.343</v>
      </c>
      <c r="J27" s="6"/>
      <c r="K27" s="1">
        <v>23.650700000000001</v>
      </c>
      <c r="L27" s="1">
        <v>20.348500000000001</v>
      </c>
      <c r="N27" s="1">
        <v>23.6525</v>
      </c>
      <c r="O27" s="1">
        <v>9.8194999999999997</v>
      </c>
      <c r="Q27" s="1">
        <v>23.659199999999998</v>
      </c>
      <c r="R27" s="1">
        <v>8.1760000000000002</v>
      </c>
      <c r="S27" s="6"/>
      <c r="T27" s="1">
        <v>23.653700000000001</v>
      </c>
      <c r="U27" s="1">
        <v>7.7794999999999996</v>
      </c>
      <c r="W27" s="1">
        <v>23.660900000000002</v>
      </c>
      <c r="X27" s="1">
        <v>7.5620000000000003</v>
      </c>
      <c r="Z27" s="1">
        <v>23.663599999999999</v>
      </c>
      <c r="AA27" s="1">
        <v>10.596</v>
      </c>
      <c r="AB27" s="6"/>
      <c r="AC27" s="1">
        <v>23.654800000000002</v>
      </c>
      <c r="AD27" s="1">
        <v>9.907</v>
      </c>
      <c r="AF27" s="1">
        <v>23.648700000000002</v>
      </c>
      <c r="AG27" s="1">
        <v>10.916</v>
      </c>
      <c r="AI27" s="1">
        <v>23.671199999999999</v>
      </c>
      <c r="AJ27" s="1">
        <v>5.1224999999999996</v>
      </c>
      <c r="AK27" s="6"/>
      <c r="AM27" s="1">
        <v>23.6617</v>
      </c>
      <c r="AN27" s="1">
        <v>17.122</v>
      </c>
      <c r="AP27" s="1">
        <v>23.657599999999999</v>
      </c>
      <c r="AQ27" s="1">
        <v>2.2690000000000001</v>
      </c>
      <c r="AS27" s="1">
        <v>23.674299999999999</v>
      </c>
      <c r="AT27" s="1">
        <v>7.6204999999999998</v>
      </c>
    </row>
    <row r="28" spans="2:46" x14ac:dyDescent="0.2">
      <c r="B28" s="1">
        <v>24.8188</v>
      </c>
      <c r="C28" s="1">
        <v>20.736999999999998</v>
      </c>
      <c r="E28" s="1">
        <v>24.665500000000002</v>
      </c>
      <c r="F28" s="1">
        <v>17.491499999999998</v>
      </c>
      <c r="H28" s="1">
        <v>24.6691</v>
      </c>
      <c r="I28" s="1">
        <v>16.297000000000001</v>
      </c>
      <c r="J28" s="6"/>
      <c r="K28" s="1">
        <v>24.655999999999999</v>
      </c>
      <c r="L28" s="1">
        <v>20.297999999999998</v>
      </c>
      <c r="N28" s="1">
        <v>24.657599999999999</v>
      </c>
      <c r="O28" s="1">
        <v>9.8140000000000001</v>
      </c>
      <c r="Q28" s="1">
        <v>24.663699999999999</v>
      </c>
      <c r="R28" s="1">
        <v>8.1389999999999993</v>
      </c>
      <c r="S28" s="6"/>
      <c r="T28" s="1">
        <v>24.6571</v>
      </c>
      <c r="U28" s="1">
        <v>7.74</v>
      </c>
      <c r="W28" s="1">
        <v>24.6675</v>
      </c>
      <c r="X28" s="1">
        <v>7.5359999999999996</v>
      </c>
      <c r="Z28" s="1">
        <v>24.669799999999999</v>
      </c>
      <c r="AA28" s="1">
        <v>10.5405</v>
      </c>
      <c r="AB28" s="6"/>
      <c r="AC28" s="1">
        <v>24.662199999999999</v>
      </c>
      <c r="AD28" s="1">
        <v>9.8695000000000004</v>
      </c>
      <c r="AF28" s="1">
        <v>24.6557</v>
      </c>
      <c r="AG28" s="1">
        <v>10.858499999999999</v>
      </c>
      <c r="AI28" s="1">
        <v>24.677099999999999</v>
      </c>
      <c r="AJ28" s="1">
        <v>5.0839999999999996</v>
      </c>
      <c r="AK28" s="6"/>
      <c r="AM28" s="1">
        <v>24.666599999999999</v>
      </c>
      <c r="AN28" s="1">
        <v>17.036999999999999</v>
      </c>
      <c r="AP28" s="1">
        <v>24.6615</v>
      </c>
      <c r="AQ28" s="1">
        <v>2.2134999999999998</v>
      </c>
      <c r="AS28" s="1">
        <v>24.682500000000001</v>
      </c>
      <c r="AT28" s="1">
        <v>7.5670000000000002</v>
      </c>
    </row>
    <row r="29" spans="2:46" x14ac:dyDescent="0.2">
      <c r="B29" s="1">
        <v>25.8215</v>
      </c>
      <c r="C29" s="1">
        <v>20.694500000000001</v>
      </c>
      <c r="E29" s="1">
        <v>25.6721</v>
      </c>
      <c r="F29" s="1">
        <v>17.485499999999998</v>
      </c>
      <c r="H29" s="1">
        <v>25.671600000000002</v>
      </c>
      <c r="I29" s="1">
        <v>16.249500000000001</v>
      </c>
      <c r="J29" s="6"/>
      <c r="K29" s="1">
        <v>25.662299999999998</v>
      </c>
      <c r="L29" s="1">
        <v>20.245999999999999</v>
      </c>
      <c r="N29" s="1">
        <v>25.663599999999999</v>
      </c>
      <c r="O29" s="1">
        <v>9.7995000000000001</v>
      </c>
      <c r="Q29" s="1">
        <v>25.668500000000002</v>
      </c>
      <c r="R29" s="1">
        <v>8.1014999999999997</v>
      </c>
      <c r="S29" s="6"/>
      <c r="T29" s="1">
        <v>25.662400000000002</v>
      </c>
      <c r="U29" s="1">
        <v>7.7089999999999996</v>
      </c>
      <c r="W29" s="1">
        <v>25.6737</v>
      </c>
      <c r="X29" s="1">
        <v>7.5019999999999998</v>
      </c>
      <c r="Z29" s="1">
        <v>25.677700000000002</v>
      </c>
      <c r="AA29" s="1">
        <v>10.493</v>
      </c>
      <c r="AB29" s="6"/>
      <c r="AC29" s="1">
        <v>25.670300000000001</v>
      </c>
      <c r="AD29" s="1">
        <v>9.8379999999999992</v>
      </c>
      <c r="AF29" s="1">
        <v>25.662700000000001</v>
      </c>
      <c r="AG29" s="1">
        <v>10.795</v>
      </c>
      <c r="AI29" s="1">
        <v>25.681000000000001</v>
      </c>
      <c r="AJ29" s="1">
        <v>5.0425000000000004</v>
      </c>
      <c r="AK29" s="6"/>
      <c r="AM29" s="1">
        <v>25.6693</v>
      </c>
      <c r="AN29" s="1">
        <v>16.945</v>
      </c>
      <c r="AP29" s="1">
        <v>25.6663</v>
      </c>
      <c r="AQ29" s="1">
        <v>2.1455000000000002</v>
      </c>
      <c r="AS29" s="1">
        <v>25.688400000000001</v>
      </c>
      <c r="AT29" s="1">
        <v>7.5015000000000001</v>
      </c>
    </row>
    <row r="30" spans="2:46" x14ac:dyDescent="0.2">
      <c r="B30" s="1">
        <v>26.825800000000001</v>
      </c>
      <c r="C30" s="1">
        <v>20.654</v>
      </c>
      <c r="E30" s="1">
        <v>26.68</v>
      </c>
      <c r="F30" s="1">
        <v>17.486499999999999</v>
      </c>
      <c r="H30" s="1">
        <v>26.6783</v>
      </c>
      <c r="I30" s="1">
        <v>16.203499999999998</v>
      </c>
      <c r="J30" s="6"/>
      <c r="K30" s="1">
        <v>26.6678</v>
      </c>
      <c r="L30" s="1">
        <v>20.191500000000001</v>
      </c>
      <c r="N30" s="1">
        <v>26.6694</v>
      </c>
      <c r="O30" s="1">
        <v>9.7840000000000007</v>
      </c>
      <c r="Q30" s="1">
        <v>26.6754</v>
      </c>
      <c r="R30" s="1">
        <v>8.0645000000000007</v>
      </c>
      <c r="S30" s="6"/>
      <c r="T30" s="1">
        <v>26.669599999999999</v>
      </c>
      <c r="U30" s="1">
        <v>7.6689999999999996</v>
      </c>
      <c r="W30" s="1">
        <v>26.681899999999999</v>
      </c>
      <c r="X30" s="1">
        <v>7.4714999999999998</v>
      </c>
      <c r="Z30" s="1">
        <v>26.6844</v>
      </c>
      <c r="AA30" s="1">
        <v>10.444000000000001</v>
      </c>
      <c r="AB30" s="6"/>
      <c r="AC30" s="1">
        <v>26.674499999999998</v>
      </c>
      <c r="AD30" s="1">
        <v>9.7895000000000003</v>
      </c>
      <c r="AF30" s="1">
        <v>26.668299999999999</v>
      </c>
      <c r="AG30" s="1">
        <v>10.734500000000001</v>
      </c>
      <c r="AI30" s="1">
        <v>26.685500000000001</v>
      </c>
      <c r="AJ30" s="1">
        <v>4.9989999999999997</v>
      </c>
      <c r="AK30" s="6"/>
      <c r="AM30" s="1">
        <v>26.6755</v>
      </c>
      <c r="AN30" s="1">
        <v>16.858499999999999</v>
      </c>
      <c r="AP30" s="1">
        <v>26.671900000000001</v>
      </c>
      <c r="AQ30" s="1">
        <v>2.0975000000000001</v>
      </c>
      <c r="AS30" s="1">
        <v>26.694099999999999</v>
      </c>
      <c r="AT30" s="1">
        <v>7.44</v>
      </c>
    </row>
    <row r="31" spans="2:46" x14ac:dyDescent="0.2">
      <c r="B31" s="1">
        <v>27.829899999999999</v>
      </c>
      <c r="C31" s="1">
        <v>20.604500000000002</v>
      </c>
      <c r="E31" s="1">
        <v>27.686699999999998</v>
      </c>
      <c r="F31" s="1">
        <v>17.474499999999999</v>
      </c>
      <c r="H31" s="1">
        <v>27.683800000000002</v>
      </c>
      <c r="I31" s="1">
        <v>16.145</v>
      </c>
      <c r="J31" s="6"/>
      <c r="K31" s="1">
        <v>27.674700000000001</v>
      </c>
      <c r="L31" s="1">
        <v>20.118500000000001</v>
      </c>
      <c r="N31" s="1">
        <v>27.676200000000001</v>
      </c>
      <c r="O31" s="1">
        <v>9.7635000000000005</v>
      </c>
      <c r="Q31" s="1">
        <v>27.683599999999998</v>
      </c>
      <c r="R31" s="1">
        <v>8.0169999999999995</v>
      </c>
      <c r="S31" s="6"/>
      <c r="T31" s="1">
        <v>27.677</v>
      </c>
      <c r="U31" s="1">
        <v>7.6234999999999999</v>
      </c>
      <c r="W31" s="1">
        <v>27.6875</v>
      </c>
      <c r="X31" s="1">
        <v>7.43</v>
      </c>
      <c r="Z31" s="1">
        <v>27.689399999999999</v>
      </c>
      <c r="AA31" s="1">
        <v>10.38</v>
      </c>
      <c r="AB31" s="6"/>
      <c r="AC31" s="1">
        <v>27.678899999999999</v>
      </c>
      <c r="AD31" s="1">
        <v>9.7390000000000008</v>
      </c>
      <c r="AF31" s="1">
        <v>27.6722</v>
      </c>
      <c r="AG31" s="1">
        <v>10.6645</v>
      </c>
      <c r="AI31" s="1">
        <v>27.6906</v>
      </c>
      <c r="AJ31" s="1">
        <v>4.9370000000000003</v>
      </c>
      <c r="AK31" s="6"/>
      <c r="AM31" s="1">
        <v>27.680499999999999</v>
      </c>
      <c r="AN31" s="1">
        <v>16.763500000000001</v>
      </c>
      <c r="AP31" s="1">
        <v>27.676300000000001</v>
      </c>
      <c r="AQ31" s="1">
        <v>2.0285000000000002</v>
      </c>
      <c r="AS31" s="1">
        <v>27.700299999999999</v>
      </c>
      <c r="AT31" s="1">
        <v>7.375</v>
      </c>
    </row>
    <row r="32" spans="2:46" x14ac:dyDescent="0.2">
      <c r="B32" s="1">
        <v>28.835000000000001</v>
      </c>
      <c r="C32" s="1">
        <v>20.555499999999999</v>
      </c>
      <c r="E32" s="1">
        <v>28.693200000000001</v>
      </c>
      <c r="F32" s="1">
        <v>17.462499999999999</v>
      </c>
      <c r="H32" s="1">
        <v>28.689499999999999</v>
      </c>
      <c r="I32" s="1">
        <v>16.079999999999998</v>
      </c>
      <c r="J32" s="6"/>
      <c r="K32" s="1">
        <v>28.679099999999998</v>
      </c>
      <c r="L32" s="1">
        <v>20.0565</v>
      </c>
      <c r="N32" s="1">
        <v>28.680900000000001</v>
      </c>
      <c r="O32" s="1">
        <v>9.7375000000000007</v>
      </c>
      <c r="Q32" s="1">
        <v>28.69</v>
      </c>
      <c r="R32" s="1">
        <v>7.9640000000000004</v>
      </c>
      <c r="S32" s="6"/>
      <c r="T32" s="1">
        <v>28.682500000000001</v>
      </c>
      <c r="U32" s="1">
        <v>7.5880000000000001</v>
      </c>
      <c r="W32" s="1">
        <v>28.693200000000001</v>
      </c>
      <c r="X32" s="1">
        <v>7.3879999999999999</v>
      </c>
      <c r="Z32" s="1">
        <v>28.695699999999999</v>
      </c>
      <c r="AA32" s="1">
        <v>10.3215</v>
      </c>
      <c r="AB32" s="6"/>
      <c r="AC32" s="1">
        <v>28.685199999999998</v>
      </c>
      <c r="AD32" s="1">
        <v>9.6805000000000003</v>
      </c>
      <c r="AF32" s="1">
        <v>28.677600000000002</v>
      </c>
      <c r="AG32" s="1">
        <v>10.592000000000001</v>
      </c>
      <c r="AI32" s="1">
        <v>28.6967</v>
      </c>
      <c r="AJ32" s="1">
        <v>4.8754999999999997</v>
      </c>
      <c r="AK32" s="6"/>
      <c r="AM32" s="1">
        <v>28.683599999999998</v>
      </c>
      <c r="AN32" s="1">
        <v>16.667999999999999</v>
      </c>
      <c r="AP32" s="1">
        <v>28.682300000000001</v>
      </c>
      <c r="AQ32" s="1">
        <v>1.9610000000000001</v>
      </c>
      <c r="AS32" s="1">
        <v>28.704499999999999</v>
      </c>
      <c r="AT32" s="1">
        <v>7.3079999999999998</v>
      </c>
    </row>
    <row r="33" spans="2:46" x14ac:dyDescent="0.2">
      <c r="B33" s="1">
        <v>29.8415</v>
      </c>
      <c r="C33" s="1">
        <v>20.5105</v>
      </c>
      <c r="E33" s="1">
        <v>29.7</v>
      </c>
      <c r="F33" s="1">
        <v>17.446000000000002</v>
      </c>
      <c r="H33" s="1">
        <v>29.694400000000002</v>
      </c>
      <c r="I33" s="1">
        <v>16.025500000000001</v>
      </c>
      <c r="J33" s="6"/>
      <c r="K33" s="1">
        <v>29.686699999999998</v>
      </c>
      <c r="L33" s="1">
        <v>19.986000000000001</v>
      </c>
      <c r="N33" s="1">
        <v>29.688300000000002</v>
      </c>
      <c r="O33" s="1">
        <v>9.7059999999999995</v>
      </c>
      <c r="Q33" s="1">
        <v>29.6995</v>
      </c>
      <c r="R33" s="1">
        <v>7.9154999999999998</v>
      </c>
      <c r="S33" s="6"/>
      <c r="T33" s="1">
        <v>29.687000000000001</v>
      </c>
      <c r="U33" s="1">
        <v>7.5484999999999998</v>
      </c>
      <c r="W33" s="1">
        <v>29.698599999999999</v>
      </c>
      <c r="X33" s="1">
        <v>7.351</v>
      </c>
      <c r="Z33" s="1">
        <v>29.700800000000001</v>
      </c>
      <c r="AA33" s="1">
        <v>10.2685</v>
      </c>
      <c r="AB33" s="6"/>
      <c r="AC33" s="1">
        <v>29.690899999999999</v>
      </c>
      <c r="AD33" s="1">
        <v>9.6210000000000004</v>
      </c>
      <c r="AF33" s="1">
        <v>29.684100000000001</v>
      </c>
      <c r="AG33" s="1">
        <v>10.5085</v>
      </c>
      <c r="AI33" s="1">
        <v>29.703700000000001</v>
      </c>
      <c r="AJ33" s="1">
        <v>4.8285</v>
      </c>
      <c r="AK33" s="6"/>
      <c r="AM33" s="1">
        <v>29.6907</v>
      </c>
      <c r="AN33" s="1">
        <v>16.579499999999999</v>
      </c>
      <c r="AP33" s="1">
        <v>29.687899999999999</v>
      </c>
      <c r="AQ33" s="1">
        <v>1.8919999999999999</v>
      </c>
      <c r="AS33" s="1">
        <v>29.71</v>
      </c>
      <c r="AT33" s="1">
        <v>7.2370000000000001</v>
      </c>
    </row>
    <row r="34" spans="2:46" x14ac:dyDescent="0.2">
      <c r="B34" s="1">
        <v>30.851600000000001</v>
      </c>
      <c r="C34" s="1">
        <v>20.449000000000002</v>
      </c>
      <c r="E34" s="1">
        <v>30.7059</v>
      </c>
      <c r="F34" s="1">
        <v>17.4285</v>
      </c>
      <c r="H34" s="1">
        <v>30.698699999999999</v>
      </c>
      <c r="I34" s="1">
        <v>15.964</v>
      </c>
      <c r="J34" s="6"/>
      <c r="K34" s="1">
        <v>30.696100000000001</v>
      </c>
      <c r="L34" s="1">
        <v>19.9055</v>
      </c>
      <c r="N34" s="1">
        <v>30.697099999999999</v>
      </c>
      <c r="O34" s="1">
        <v>9.6720000000000006</v>
      </c>
      <c r="Q34" s="1">
        <v>30.707699999999999</v>
      </c>
      <c r="R34" s="1">
        <v>7.8570000000000002</v>
      </c>
      <c r="S34" s="6"/>
      <c r="T34" s="1">
        <v>30.690999999999999</v>
      </c>
      <c r="U34" s="1">
        <v>7.5155000000000003</v>
      </c>
      <c r="W34" s="1">
        <v>30.704699999999999</v>
      </c>
      <c r="X34" s="1">
        <v>7.3109999999999999</v>
      </c>
      <c r="Z34" s="1">
        <v>30.7075</v>
      </c>
      <c r="AA34" s="1">
        <v>10.2155</v>
      </c>
      <c r="AB34" s="6"/>
      <c r="AC34" s="1">
        <v>30.6951</v>
      </c>
      <c r="AD34" s="1">
        <v>9.5525000000000002</v>
      </c>
      <c r="AF34" s="1">
        <v>30.688800000000001</v>
      </c>
      <c r="AG34" s="1">
        <v>10.4215</v>
      </c>
      <c r="AI34" s="1">
        <v>30.709199999999999</v>
      </c>
      <c r="AJ34" s="1">
        <v>4.7699999999999996</v>
      </c>
      <c r="AK34" s="6"/>
      <c r="AM34" s="1">
        <v>30.695699999999999</v>
      </c>
      <c r="AN34" s="1">
        <v>16.488499999999998</v>
      </c>
      <c r="AP34" s="1">
        <v>30.693899999999999</v>
      </c>
      <c r="AQ34" s="1">
        <v>1.829</v>
      </c>
      <c r="AS34" s="1">
        <v>30.718299999999999</v>
      </c>
      <c r="AT34" s="1">
        <v>7.1635</v>
      </c>
    </row>
    <row r="35" spans="2:46" x14ac:dyDescent="0.2">
      <c r="B35" s="1">
        <v>31.859000000000002</v>
      </c>
      <c r="C35" s="1">
        <v>20.388000000000002</v>
      </c>
      <c r="E35" s="1">
        <v>31.7118</v>
      </c>
      <c r="F35" s="1">
        <v>17.402000000000001</v>
      </c>
      <c r="H35" s="1">
        <v>31.704999999999998</v>
      </c>
      <c r="I35" s="1">
        <v>15.8965</v>
      </c>
      <c r="J35" s="6"/>
      <c r="K35" s="1">
        <v>31.7042</v>
      </c>
      <c r="L35" s="1">
        <v>19.825500000000002</v>
      </c>
      <c r="N35" s="1">
        <v>31.704599999999999</v>
      </c>
      <c r="O35" s="1">
        <v>9.6310000000000002</v>
      </c>
      <c r="Q35" s="1">
        <v>31.713699999999999</v>
      </c>
      <c r="R35" s="1">
        <v>7.7969999999999997</v>
      </c>
      <c r="S35" s="6"/>
      <c r="T35" s="1">
        <v>31.696999999999999</v>
      </c>
      <c r="U35" s="1">
        <v>7.48</v>
      </c>
      <c r="W35" s="1">
        <v>31.707899999999999</v>
      </c>
      <c r="X35" s="1">
        <v>7.2714999999999996</v>
      </c>
      <c r="Z35" s="1">
        <v>31.7102</v>
      </c>
      <c r="AA35" s="1">
        <v>10.1555</v>
      </c>
      <c r="AB35" s="6"/>
      <c r="AC35" s="1">
        <v>31.701499999999999</v>
      </c>
      <c r="AD35" s="1">
        <v>9.4830000000000005</v>
      </c>
      <c r="AF35" s="1">
        <v>31.693200000000001</v>
      </c>
      <c r="AG35" s="1">
        <v>10.334</v>
      </c>
      <c r="AI35" s="1">
        <v>31.7149</v>
      </c>
      <c r="AJ35" s="1">
        <v>4.7110000000000003</v>
      </c>
      <c r="AK35" s="6"/>
      <c r="AM35" s="1">
        <v>31.6983</v>
      </c>
      <c r="AN35" s="1">
        <v>16.3795</v>
      </c>
      <c r="AP35" s="1">
        <v>31.697600000000001</v>
      </c>
      <c r="AQ35" s="1">
        <v>1.7565</v>
      </c>
      <c r="AS35" s="1">
        <v>31.723199999999999</v>
      </c>
      <c r="AT35" s="1">
        <v>7.085</v>
      </c>
    </row>
    <row r="36" spans="2:46" x14ac:dyDescent="0.2">
      <c r="B36" s="1">
        <v>32.863500000000002</v>
      </c>
      <c r="C36" s="1">
        <v>20.335000000000001</v>
      </c>
      <c r="E36" s="1">
        <v>32.7196</v>
      </c>
      <c r="F36" s="1">
        <v>17.375499999999999</v>
      </c>
      <c r="H36" s="1">
        <v>32.7119</v>
      </c>
      <c r="I36" s="1">
        <v>15.829499999999999</v>
      </c>
      <c r="J36" s="6"/>
      <c r="K36" s="1">
        <v>32.710999999999999</v>
      </c>
      <c r="L36" s="1">
        <v>19.751000000000001</v>
      </c>
      <c r="N36" s="1">
        <v>32.713000000000001</v>
      </c>
      <c r="O36" s="1">
        <v>9.5854999999999997</v>
      </c>
      <c r="Q36" s="1">
        <v>32.719799999999999</v>
      </c>
      <c r="R36" s="1">
        <v>7.7554999999999996</v>
      </c>
      <c r="S36" s="6"/>
      <c r="T36" s="1">
        <v>32.703299999999999</v>
      </c>
      <c r="U36" s="1">
        <v>7.4359999999999999</v>
      </c>
      <c r="W36" s="1">
        <v>32.714199999999998</v>
      </c>
      <c r="X36" s="1">
        <v>7.2175000000000002</v>
      </c>
      <c r="Z36" s="1">
        <v>32.715400000000002</v>
      </c>
      <c r="AA36" s="1">
        <v>10.093500000000001</v>
      </c>
      <c r="AB36" s="6"/>
      <c r="AC36" s="1">
        <v>32.707299999999996</v>
      </c>
      <c r="AD36" s="1">
        <v>9.4139999999999997</v>
      </c>
      <c r="AF36" s="1">
        <v>32.697400000000002</v>
      </c>
      <c r="AG36" s="1">
        <v>10.2485</v>
      </c>
      <c r="AI36" s="1">
        <v>32.722999999999999</v>
      </c>
      <c r="AJ36" s="1">
        <v>4.6524999999999999</v>
      </c>
      <c r="AK36" s="6"/>
      <c r="AM36" s="1">
        <v>32.7042</v>
      </c>
      <c r="AN36" s="1">
        <v>16.289000000000001</v>
      </c>
      <c r="AP36" s="1">
        <v>32.702599999999997</v>
      </c>
      <c r="AQ36" s="1">
        <v>1.6904999999999999</v>
      </c>
      <c r="AS36" s="1">
        <v>32.728999999999999</v>
      </c>
      <c r="AT36" s="1">
        <v>7.0084999999999997</v>
      </c>
    </row>
    <row r="37" spans="2:46" x14ac:dyDescent="0.2">
      <c r="B37" s="1">
        <v>33.866799999999998</v>
      </c>
      <c r="C37" s="1">
        <v>20.272500000000001</v>
      </c>
      <c r="E37" s="1">
        <v>33.728200000000001</v>
      </c>
      <c r="F37" s="1">
        <v>17.342500000000001</v>
      </c>
      <c r="H37" s="1">
        <v>33.718299999999999</v>
      </c>
      <c r="I37" s="1">
        <v>15.757</v>
      </c>
      <c r="J37" s="6"/>
      <c r="K37" s="1">
        <v>33.714500000000001</v>
      </c>
      <c r="L37" s="1">
        <v>19.664999999999999</v>
      </c>
      <c r="N37" s="1">
        <v>33.717500000000001</v>
      </c>
      <c r="O37" s="1">
        <v>9.5404999999999998</v>
      </c>
      <c r="Q37" s="1">
        <v>33.725999999999999</v>
      </c>
      <c r="R37" s="1">
        <v>7.6944999999999997</v>
      </c>
      <c r="S37" s="6"/>
      <c r="T37" s="1">
        <v>33.708199999999998</v>
      </c>
      <c r="U37" s="1">
        <v>7.3949999999999996</v>
      </c>
      <c r="W37" s="1">
        <v>33.721600000000002</v>
      </c>
      <c r="X37" s="1">
        <v>7.1740000000000004</v>
      </c>
      <c r="Z37" s="1">
        <v>33.719499999999996</v>
      </c>
      <c r="AA37" s="1">
        <v>10.025</v>
      </c>
      <c r="AB37" s="6"/>
      <c r="AC37" s="1">
        <v>33.714599999999997</v>
      </c>
      <c r="AD37" s="1">
        <v>9.3520000000000003</v>
      </c>
      <c r="AF37" s="1">
        <v>33.703899999999997</v>
      </c>
      <c r="AG37" s="1">
        <v>10.153</v>
      </c>
      <c r="AI37" s="1">
        <v>33.7331</v>
      </c>
      <c r="AJ37" s="1">
        <v>4.5904999999999996</v>
      </c>
      <c r="AK37" s="6"/>
      <c r="AM37" s="1">
        <v>33.709600000000002</v>
      </c>
      <c r="AN37" s="1">
        <v>16.193000000000001</v>
      </c>
      <c r="AP37" s="1">
        <v>33.710599999999999</v>
      </c>
      <c r="AQ37" s="1">
        <v>1.6160000000000001</v>
      </c>
      <c r="AS37" s="1">
        <v>33.733199999999997</v>
      </c>
      <c r="AT37" s="1">
        <v>6.9269999999999996</v>
      </c>
    </row>
    <row r="38" spans="2:46" x14ac:dyDescent="0.2">
      <c r="B38" s="1">
        <v>34.872199999999999</v>
      </c>
      <c r="C38" s="1">
        <v>20.218</v>
      </c>
      <c r="E38" s="1">
        <v>34.733199999999997</v>
      </c>
      <c r="F38" s="1">
        <v>17.297499999999999</v>
      </c>
      <c r="H38" s="1">
        <v>34.724699999999999</v>
      </c>
      <c r="I38" s="1">
        <v>15.683999999999999</v>
      </c>
      <c r="J38" s="6"/>
      <c r="K38" s="1">
        <v>34.720100000000002</v>
      </c>
      <c r="L38" s="1">
        <v>19.591000000000001</v>
      </c>
      <c r="N38" s="1">
        <v>34.722700000000003</v>
      </c>
      <c r="O38" s="1">
        <v>9.4849999999999994</v>
      </c>
      <c r="Q38" s="1">
        <v>34.7333</v>
      </c>
      <c r="R38" s="1">
        <v>7.6325000000000003</v>
      </c>
      <c r="S38" s="6"/>
      <c r="T38" s="1">
        <v>34.712200000000003</v>
      </c>
      <c r="U38" s="1">
        <v>7.359</v>
      </c>
      <c r="W38" s="1">
        <v>34.728499999999997</v>
      </c>
      <c r="X38" s="1">
        <v>7.1379999999999999</v>
      </c>
      <c r="Z38" s="1">
        <v>34.723100000000002</v>
      </c>
      <c r="AA38" s="1">
        <v>9.9674999999999994</v>
      </c>
      <c r="AB38" s="6"/>
      <c r="AC38" s="1">
        <v>34.721899999999998</v>
      </c>
      <c r="AD38" s="1">
        <v>9.2584999999999997</v>
      </c>
      <c r="AF38" s="1">
        <v>34.710599999999999</v>
      </c>
      <c r="AG38" s="1">
        <v>10.066000000000001</v>
      </c>
      <c r="AI38" s="1">
        <v>34.742100000000001</v>
      </c>
      <c r="AJ38" s="1">
        <v>4.5225</v>
      </c>
      <c r="AK38" s="6"/>
      <c r="AM38" s="1">
        <v>34.714799999999997</v>
      </c>
      <c r="AN38" s="1">
        <v>16.1005</v>
      </c>
      <c r="AP38" s="1">
        <v>34.7164</v>
      </c>
      <c r="AQ38" s="1">
        <v>1.5505</v>
      </c>
      <c r="AS38" s="1">
        <v>34.741199999999999</v>
      </c>
      <c r="AT38" s="1">
        <v>6.8414999999999999</v>
      </c>
    </row>
    <row r="39" spans="2:46" x14ac:dyDescent="0.2">
      <c r="B39" s="1">
        <v>35.884799999999998</v>
      </c>
      <c r="C39" s="1">
        <v>20.147500000000001</v>
      </c>
      <c r="E39" s="1">
        <v>35.743000000000002</v>
      </c>
      <c r="F39" s="1">
        <v>17.254999999999999</v>
      </c>
      <c r="H39" s="1">
        <v>35.737299999999998</v>
      </c>
      <c r="I39" s="1">
        <v>15.6165</v>
      </c>
      <c r="J39" s="6"/>
      <c r="K39" s="1">
        <v>35.726700000000001</v>
      </c>
      <c r="L39" s="1">
        <v>19.512</v>
      </c>
      <c r="N39" s="1">
        <v>35.778399999999998</v>
      </c>
      <c r="O39" s="1">
        <v>9.4239999999999995</v>
      </c>
      <c r="Q39" s="1">
        <v>35.741900000000001</v>
      </c>
      <c r="R39" s="1">
        <v>7.5744999999999996</v>
      </c>
      <c r="S39" s="6"/>
      <c r="T39" s="1">
        <v>35.723100000000002</v>
      </c>
      <c r="U39" s="1">
        <v>7.3179999999999996</v>
      </c>
      <c r="W39" s="1">
        <v>35.739600000000003</v>
      </c>
      <c r="X39" s="1">
        <v>7.0895000000000001</v>
      </c>
      <c r="Z39" s="1">
        <v>35.7346</v>
      </c>
      <c r="AA39" s="1">
        <v>9.8930000000000007</v>
      </c>
      <c r="AB39" s="6"/>
      <c r="AC39" s="1">
        <v>35.730699999999999</v>
      </c>
      <c r="AD39" s="1">
        <v>9.1914999999999996</v>
      </c>
      <c r="AF39" s="1">
        <v>35.7179</v>
      </c>
      <c r="AG39" s="1">
        <v>9.9715000000000007</v>
      </c>
      <c r="AI39" s="1">
        <v>35.752899999999997</v>
      </c>
      <c r="AJ39" s="1">
        <v>4.4654999999999996</v>
      </c>
      <c r="AK39" s="6"/>
      <c r="AM39" s="1">
        <v>35.722900000000003</v>
      </c>
      <c r="AN39" s="1">
        <v>16.004999999999999</v>
      </c>
      <c r="AP39" s="1">
        <v>35.725099999999998</v>
      </c>
      <c r="AQ39" s="1">
        <v>1.484</v>
      </c>
      <c r="AS39" s="1">
        <v>35.7517</v>
      </c>
      <c r="AT39" s="1">
        <v>6.7640000000000002</v>
      </c>
    </row>
    <row r="40" spans="2:46" x14ac:dyDescent="0.2">
      <c r="B40" s="1">
        <v>36.890099999999997</v>
      </c>
      <c r="C40" s="1">
        <v>20.082999999999998</v>
      </c>
      <c r="E40" s="1">
        <v>36.7517</v>
      </c>
      <c r="F40" s="1">
        <v>17.202000000000002</v>
      </c>
      <c r="H40" s="1">
        <v>36.742899999999999</v>
      </c>
      <c r="I40" s="1">
        <v>15.537000000000001</v>
      </c>
      <c r="J40" s="6"/>
      <c r="K40" s="1">
        <v>36.731699999999996</v>
      </c>
      <c r="L40" s="1">
        <v>19.420999999999999</v>
      </c>
      <c r="N40" s="1">
        <v>36.784100000000002</v>
      </c>
      <c r="O40" s="1">
        <v>9.3644999999999996</v>
      </c>
      <c r="Q40" s="1">
        <v>36.750900000000001</v>
      </c>
      <c r="R40" s="1">
        <v>7.524</v>
      </c>
      <c r="S40" s="6"/>
      <c r="T40" s="1">
        <v>36.728299999999997</v>
      </c>
      <c r="U40" s="1">
        <v>7.2729999999999997</v>
      </c>
      <c r="W40" s="1">
        <v>36.746699999999997</v>
      </c>
      <c r="X40" s="1">
        <v>7.0374999999999996</v>
      </c>
      <c r="Z40" s="1">
        <v>36.740400000000001</v>
      </c>
      <c r="AA40" s="1">
        <v>9.8149999999999995</v>
      </c>
      <c r="AB40" s="6"/>
      <c r="AC40" s="1">
        <v>36.735500000000002</v>
      </c>
      <c r="AD40" s="1">
        <v>9.1210000000000004</v>
      </c>
      <c r="AF40" s="1">
        <v>36.722000000000001</v>
      </c>
      <c r="AG40" s="1">
        <v>9.8755000000000006</v>
      </c>
      <c r="AI40" s="1">
        <v>36.7577</v>
      </c>
      <c r="AJ40" s="1">
        <v>4.4029999999999996</v>
      </c>
      <c r="AK40" s="6"/>
      <c r="AM40" s="1">
        <v>36.728700000000003</v>
      </c>
      <c r="AN40" s="1">
        <v>15.907999999999999</v>
      </c>
      <c r="AP40" s="1">
        <v>36.731299999999997</v>
      </c>
      <c r="AQ40" s="1">
        <v>1.4075</v>
      </c>
      <c r="AS40" s="1">
        <v>36.7592</v>
      </c>
      <c r="AT40" s="1">
        <v>6.6784999999999997</v>
      </c>
    </row>
    <row r="41" spans="2:46" x14ac:dyDescent="0.2">
      <c r="B41" s="1">
        <v>37.8949</v>
      </c>
      <c r="C41" s="1">
        <v>20.0215</v>
      </c>
      <c r="E41" s="1">
        <v>37.760199999999998</v>
      </c>
      <c r="F41" s="1">
        <v>17.1465</v>
      </c>
      <c r="H41" s="1">
        <v>37.749200000000002</v>
      </c>
      <c r="I41" s="1">
        <v>15.4595</v>
      </c>
      <c r="J41" s="6"/>
      <c r="K41" s="1">
        <v>37.736400000000003</v>
      </c>
      <c r="L41" s="1">
        <v>19.338999999999999</v>
      </c>
      <c r="N41" s="1">
        <v>37.787500000000001</v>
      </c>
      <c r="O41" s="1">
        <v>9.3119999999999994</v>
      </c>
      <c r="Q41" s="1">
        <v>37.755600000000001</v>
      </c>
      <c r="R41" s="1">
        <v>7.4584999999999999</v>
      </c>
      <c r="S41" s="6"/>
      <c r="T41" s="1">
        <v>37.732300000000002</v>
      </c>
      <c r="U41" s="1">
        <v>7.2350000000000003</v>
      </c>
      <c r="W41" s="1">
        <v>37.752899999999997</v>
      </c>
      <c r="X41" s="1">
        <v>6.9894999999999996</v>
      </c>
      <c r="Z41" s="1">
        <v>37.745100000000001</v>
      </c>
      <c r="AA41" s="1">
        <v>9.7509999999999994</v>
      </c>
      <c r="AB41" s="6"/>
      <c r="AC41" s="1">
        <v>37.741900000000001</v>
      </c>
      <c r="AD41" s="1">
        <v>9.032</v>
      </c>
      <c r="AF41" s="1">
        <v>37.728099999999998</v>
      </c>
      <c r="AG41" s="1">
        <v>9.7765000000000004</v>
      </c>
      <c r="AI41" s="1">
        <v>37.763100000000001</v>
      </c>
      <c r="AJ41" s="1">
        <v>4.3410000000000002</v>
      </c>
      <c r="AK41" s="6"/>
      <c r="AM41" s="1">
        <v>37.735100000000003</v>
      </c>
      <c r="AN41" s="1">
        <v>15.816000000000001</v>
      </c>
      <c r="AP41" s="1">
        <v>37.738199999999999</v>
      </c>
      <c r="AQ41" s="1">
        <v>1.3345</v>
      </c>
      <c r="AS41" s="1">
        <v>37.768300000000004</v>
      </c>
      <c r="AT41" s="1">
        <v>6.6044999999999998</v>
      </c>
    </row>
    <row r="42" spans="2:46" x14ac:dyDescent="0.2">
      <c r="B42" s="1">
        <v>38.901600000000002</v>
      </c>
      <c r="C42" s="1">
        <v>19.957000000000001</v>
      </c>
      <c r="E42" s="1">
        <v>38.764600000000002</v>
      </c>
      <c r="F42" s="1">
        <v>17.081499999999998</v>
      </c>
      <c r="H42" s="1">
        <v>38.754199999999997</v>
      </c>
      <c r="I42" s="1">
        <v>15.384</v>
      </c>
      <c r="J42" s="6"/>
      <c r="K42" s="1">
        <v>38.742699999999999</v>
      </c>
      <c r="L42" s="1">
        <v>19.2575</v>
      </c>
      <c r="N42" s="1">
        <v>38.7928</v>
      </c>
      <c r="O42" s="1">
        <v>9.2490000000000006</v>
      </c>
      <c r="Q42" s="1">
        <v>38.76</v>
      </c>
      <c r="R42" s="1">
        <v>7.3994999999999997</v>
      </c>
      <c r="S42" s="6"/>
      <c r="T42" s="1">
        <v>38.737000000000002</v>
      </c>
      <c r="U42" s="1">
        <v>7.1970000000000001</v>
      </c>
      <c r="W42" s="1">
        <v>38.760800000000003</v>
      </c>
      <c r="X42" s="1">
        <v>6.9424999999999999</v>
      </c>
      <c r="Z42" s="1">
        <v>38.752899999999997</v>
      </c>
      <c r="AA42" s="1">
        <v>9.6790000000000003</v>
      </c>
      <c r="AB42" s="6"/>
      <c r="AC42" s="1">
        <v>38.749000000000002</v>
      </c>
      <c r="AD42" s="1">
        <v>8.9469999999999992</v>
      </c>
      <c r="AF42" s="1">
        <v>38.733400000000003</v>
      </c>
      <c r="AG42" s="1">
        <v>9.6715</v>
      </c>
      <c r="AI42" s="1">
        <v>38.770499999999998</v>
      </c>
      <c r="AJ42" s="1">
        <v>4.2845000000000004</v>
      </c>
      <c r="AK42" s="6"/>
      <c r="AM42" s="1">
        <v>38.74</v>
      </c>
      <c r="AN42" s="1">
        <v>15.7095</v>
      </c>
      <c r="AP42" s="1">
        <v>38.743600000000001</v>
      </c>
      <c r="AQ42" s="1">
        <v>1.2655000000000001</v>
      </c>
      <c r="AS42" s="1">
        <v>38.775799999999997</v>
      </c>
      <c r="AT42" s="1">
        <v>6.5229999999999997</v>
      </c>
    </row>
    <row r="43" spans="2:46" x14ac:dyDescent="0.2">
      <c r="B43" s="1">
        <v>39.9116</v>
      </c>
      <c r="C43" s="1">
        <v>19.884499999999999</v>
      </c>
      <c r="E43" s="1">
        <v>39.773000000000003</v>
      </c>
      <c r="F43" s="1">
        <v>17.027000000000001</v>
      </c>
      <c r="H43" s="1">
        <v>39.759</v>
      </c>
      <c r="I43" s="1">
        <v>15.305</v>
      </c>
      <c r="J43" s="6"/>
      <c r="K43" s="1">
        <v>39.749600000000001</v>
      </c>
      <c r="L43" s="1">
        <v>19.158000000000001</v>
      </c>
      <c r="N43" s="1">
        <v>39.798000000000002</v>
      </c>
      <c r="O43" s="1">
        <v>9.1875</v>
      </c>
      <c r="Q43" s="1">
        <v>39.764800000000001</v>
      </c>
      <c r="R43" s="1">
        <v>7.335</v>
      </c>
      <c r="S43" s="6"/>
      <c r="T43" s="1">
        <v>39.738500000000002</v>
      </c>
      <c r="U43" s="1">
        <v>7.1535000000000002</v>
      </c>
      <c r="W43" s="1">
        <v>39.7684</v>
      </c>
      <c r="X43" s="1">
        <v>6.8895</v>
      </c>
      <c r="Z43" s="1">
        <v>39.7592</v>
      </c>
      <c r="AA43" s="1">
        <v>9.6110000000000007</v>
      </c>
      <c r="AB43" s="6"/>
      <c r="AC43" s="1">
        <v>39.753799999999998</v>
      </c>
      <c r="AD43" s="1">
        <v>8.8569999999999993</v>
      </c>
      <c r="AF43" s="1">
        <v>39.738900000000001</v>
      </c>
      <c r="AG43" s="1">
        <v>9.5805000000000007</v>
      </c>
      <c r="AI43" s="1">
        <v>39.777200000000001</v>
      </c>
      <c r="AJ43" s="1">
        <v>4.2164999999999999</v>
      </c>
      <c r="AK43" s="6"/>
      <c r="AM43" s="1">
        <v>39.744700000000002</v>
      </c>
      <c r="AN43" s="1">
        <v>15.6205</v>
      </c>
      <c r="AP43" s="1">
        <v>39.747700000000002</v>
      </c>
      <c r="AQ43" s="1">
        <v>1.1990000000000001</v>
      </c>
      <c r="AS43" s="1">
        <v>39.783799999999999</v>
      </c>
      <c r="AT43" s="1">
        <v>6.4420000000000002</v>
      </c>
    </row>
    <row r="44" spans="2:46" x14ac:dyDescent="0.2">
      <c r="B44" s="1">
        <v>40.9163</v>
      </c>
      <c r="C44" s="1">
        <v>19.814</v>
      </c>
      <c r="E44" s="1">
        <v>40.777900000000002</v>
      </c>
      <c r="F44" s="1">
        <v>16.960999999999999</v>
      </c>
      <c r="H44" s="1">
        <v>40.765500000000003</v>
      </c>
      <c r="I44" s="1">
        <v>15.2285</v>
      </c>
      <c r="J44" s="6"/>
      <c r="K44" s="1">
        <v>40.753500000000003</v>
      </c>
      <c r="L44" s="1">
        <v>19.0745</v>
      </c>
      <c r="N44" s="1">
        <v>40.803699999999999</v>
      </c>
      <c r="O44" s="1">
        <v>9.1159999999999997</v>
      </c>
      <c r="Q44" s="1">
        <v>40.770200000000003</v>
      </c>
      <c r="R44" s="1">
        <v>7.2725</v>
      </c>
      <c r="S44" s="6"/>
      <c r="T44" s="1">
        <v>40.742899999999999</v>
      </c>
      <c r="U44" s="1">
        <v>7.1094999999999997</v>
      </c>
      <c r="W44" s="1">
        <v>40.773099999999999</v>
      </c>
      <c r="X44" s="1">
        <v>6.8345000000000002</v>
      </c>
      <c r="Z44" s="1">
        <v>40.763500000000001</v>
      </c>
      <c r="AA44" s="1">
        <v>9.5434999999999999</v>
      </c>
      <c r="AB44" s="6"/>
      <c r="AC44" s="1">
        <v>40.759700000000002</v>
      </c>
      <c r="AD44" s="1">
        <v>8.7774999999999999</v>
      </c>
      <c r="AF44" s="1">
        <v>40.743099999999998</v>
      </c>
      <c r="AG44" s="1">
        <v>9.4730000000000008</v>
      </c>
      <c r="AI44" s="1">
        <v>40.782400000000003</v>
      </c>
      <c r="AJ44" s="1">
        <v>4.1470000000000002</v>
      </c>
      <c r="AK44" s="6"/>
      <c r="AM44" s="1">
        <v>40.748899999999999</v>
      </c>
      <c r="AN44" s="1">
        <v>15.526</v>
      </c>
      <c r="AP44" s="1">
        <v>40.752600000000001</v>
      </c>
      <c r="AQ44" s="1">
        <v>1.125</v>
      </c>
      <c r="AS44" s="1">
        <v>40.7879</v>
      </c>
      <c r="AT44" s="1">
        <v>6.3535000000000004</v>
      </c>
    </row>
    <row r="45" spans="2:46" x14ac:dyDescent="0.2">
      <c r="B45" s="1">
        <v>41.921700000000001</v>
      </c>
      <c r="C45" s="1">
        <v>19.748000000000001</v>
      </c>
      <c r="E45" s="1">
        <v>41.782400000000003</v>
      </c>
      <c r="F45" s="1">
        <v>16.891999999999999</v>
      </c>
      <c r="H45" s="1">
        <v>41.768599999999999</v>
      </c>
      <c r="I45" s="1">
        <v>15.150499999999999</v>
      </c>
      <c r="J45" s="6"/>
      <c r="K45" s="1">
        <v>41.7605</v>
      </c>
      <c r="L45" s="1">
        <v>18.988499999999998</v>
      </c>
      <c r="N45" s="1">
        <v>41.807200000000002</v>
      </c>
      <c r="O45" s="1">
        <v>9.0540000000000003</v>
      </c>
      <c r="Q45" s="1">
        <v>41.774999999999999</v>
      </c>
      <c r="R45" s="1">
        <v>7.2145000000000001</v>
      </c>
      <c r="S45" s="6"/>
      <c r="T45" s="1">
        <v>41.749000000000002</v>
      </c>
      <c r="U45" s="1">
        <v>7.07</v>
      </c>
      <c r="W45" s="1">
        <v>41.7761</v>
      </c>
      <c r="X45" s="1">
        <v>6.7774999999999999</v>
      </c>
      <c r="Z45" s="1">
        <v>41.769599999999997</v>
      </c>
      <c r="AA45" s="1">
        <v>9.468</v>
      </c>
      <c r="AB45" s="6"/>
      <c r="AC45" s="1">
        <v>41.7669</v>
      </c>
      <c r="AD45" s="1">
        <v>8.6824999999999992</v>
      </c>
      <c r="AF45" s="1">
        <v>41.750599999999999</v>
      </c>
      <c r="AG45" s="1">
        <v>9.36</v>
      </c>
      <c r="AI45" s="1">
        <v>41.789000000000001</v>
      </c>
      <c r="AJ45" s="1">
        <v>4.085</v>
      </c>
      <c r="AK45" s="6"/>
      <c r="AM45" s="1">
        <v>41.7545</v>
      </c>
      <c r="AN45" s="1">
        <v>15.43</v>
      </c>
      <c r="AP45" s="1">
        <v>41.760100000000001</v>
      </c>
      <c r="AQ45" s="1">
        <v>1.054</v>
      </c>
      <c r="AS45" s="1">
        <v>41.793599999999998</v>
      </c>
      <c r="AT45" s="1">
        <v>6.2705000000000002</v>
      </c>
    </row>
    <row r="46" spans="2:46" x14ac:dyDescent="0.2">
      <c r="B46" s="1">
        <v>42.926699999999997</v>
      </c>
      <c r="C46" s="1">
        <v>19.677</v>
      </c>
      <c r="E46" s="1">
        <v>42.790999999999997</v>
      </c>
      <c r="F46" s="1">
        <v>16.823499999999999</v>
      </c>
      <c r="H46" s="1">
        <v>42.771299999999997</v>
      </c>
      <c r="I46" s="1">
        <v>15.0695</v>
      </c>
      <c r="J46" s="6"/>
      <c r="K46" s="1">
        <v>42.7652</v>
      </c>
      <c r="L46" s="1">
        <v>18.886500000000002</v>
      </c>
      <c r="N46" s="1">
        <v>42.811399999999999</v>
      </c>
      <c r="O46" s="1">
        <v>8.9939999999999998</v>
      </c>
      <c r="Q46" s="1">
        <v>42.780200000000001</v>
      </c>
      <c r="R46" s="1">
        <v>7.1559999999999997</v>
      </c>
      <c r="S46" s="6"/>
      <c r="T46" s="1">
        <v>42.753900000000002</v>
      </c>
      <c r="U46" s="1">
        <v>7.0250000000000004</v>
      </c>
      <c r="W46" s="1">
        <v>42.783900000000003</v>
      </c>
      <c r="X46" s="1">
        <v>6.7255000000000003</v>
      </c>
      <c r="Z46" s="1">
        <v>42.778199999999998</v>
      </c>
      <c r="AA46" s="1">
        <v>9.3940000000000001</v>
      </c>
      <c r="AB46" s="6"/>
      <c r="AC46" s="1">
        <v>42.7727</v>
      </c>
      <c r="AD46" s="1">
        <v>8.5875000000000004</v>
      </c>
      <c r="AF46" s="1">
        <v>42.758099999999999</v>
      </c>
      <c r="AG46" s="1">
        <v>9.2620000000000005</v>
      </c>
      <c r="AI46" s="1">
        <v>42.795900000000003</v>
      </c>
      <c r="AJ46" s="1">
        <v>4.0145</v>
      </c>
      <c r="AK46" s="6"/>
      <c r="AM46" s="1">
        <v>42.7605</v>
      </c>
      <c r="AN46" s="1">
        <v>15.339</v>
      </c>
      <c r="AP46" s="1">
        <v>42.767099999999999</v>
      </c>
      <c r="AQ46" s="1">
        <v>0.98199999999999998</v>
      </c>
      <c r="AS46" s="1">
        <v>42.795699999999997</v>
      </c>
      <c r="AT46" s="1">
        <v>6.1950000000000003</v>
      </c>
    </row>
    <row r="47" spans="2:46" x14ac:dyDescent="0.2">
      <c r="B47" s="1">
        <v>43.9315</v>
      </c>
      <c r="C47" s="1">
        <v>19.603999999999999</v>
      </c>
      <c r="E47" s="1">
        <v>43.797699999999999</v>
      </c>
      <c r="F47" s="1">
        <v>16.742000000000001</v>
      </c>
      <c r="H47" s="1">
        <v>43.777700000000003</v>
      </c>
      <c r="I47" s="1">
        <v>14.999000000000001</v>
      </c>
      <c r="J47" s="6"/>
      <c r="K47" s="1">
        <v>43.7712</v>
      </c>
      <c r="L47" s="1">
        <v>18.792000000000002</v>
      </c>
      <c r="N47" s="1">
        <v>43.815800000000003</v>
      </c>
      <c r="O47" s="1">
        <v>8.9154999999999998</v>
      </c>
      <c r="Q47" s="1">
        <v>43.786000000000001</v>
      </c>
      <c r="R47" s="1">
        <v>7.1040000000000001</v>
      </c>
      <c r="S47" s="6"/>
      <c r="T47" s="1">
        <v>43.758499999999998</v>
      </c>
      <c r="U47" s="1">
        <v>6.9775</v>
      </c>
      <c r="W47" s="1">
        <v>43.790199999999999</v>
      </c>
      <c r="X47" s="1">
        <v>6.6684999999999999</v>
      </c>
      <c r="Z47" s="1">
        <v>43.785400000000003</v>
      </c>
      <c r="AA47" s="1">
        <v>9.3279999999999994</v>
      </c>
      <c r="AB47" s="6"/>
      <c r="AC47" s="1">
        <v>43.779299999999999</v>
      </c>
      <c r="AD47" s="1">
        <v>8.4969999999999999</v>
      </c>
      <c r="AF47" s="1">
        <v>43.765300000000003</v>
      </c>
      <c r="AG47" s="1">
        <v>9.15</v>
      </c>
      <c r="AI47" s="1">
        <v>43.801099999999998</v>
      </c>
      <c r="AJ47" s="1">
        <v>3.9380000000000002</v>
      </c>
      <c r="AK47" s="6"/>
      <c r="AM47" s="1">
        <v>43.769500000000001</v>
      </c>
      <c r="AN47" s="1">
        <v>15.2395</v>
      </c>
      <c r="AP47" s="1">
        <v>43.771500000000003</v>
      </c>
      <c r="AQ47" s="1">
        <v>0.91149999999999998</v>
      </c>
      <c r="AS47" s="1">
        <v>43.799900000000001</v>
      </c>
      <c r="AT47" s="1">
        <v>6.1280000000000001</v>
      </c>
    </row>
    <row r="48" spans="2:46" x14ac:dyDescent="0.2">
      <c r="B48" s="1">
        <v>44.9373</v>
      </c>
      <c r="C48" s="1">
        <v>19.533999999999999</v>
      </c>
      <c r="E48" s="1">
        <v>44.802599999999998</v>
      </c>
      <c r="F48" s="1">
        <v>16.667999999999999</v>
      </c>
      <c r="H48" s="1">
        <v>44.781500000000001</v>
      </c>
      <c r="I48" s="1">
        <v>14.927</v>
      </c>
      <c r="J48" s="6"/>
      <c r="K48" s="1">
        <v>44.775199999999998</v>
      </c>
      <c r="L48" s="1">
        <v>18.6965</v>
      </c>
      <c r="N48" s="1">
        <v>44.822800000000001</v>
      </c>
      <c r="O48" s="1">
        <v>8.85</v>
      </c>
      <c r="Q48" s="1">
        <v>44.788699999999999</v>
      </c>
      <c r="R48" s="1">
        <v>7.0475000000000003</v>
      </c>
      <c r="S48" s="6"/>
      <c r="T48" s="1">
        <v>44.769599999999997</v>
      </c>
      <c r="U48" s="1">
        <v>6.931</v>
      </c>
      <c r="W48" s="1">
        <v>44.795400000000001</v>
      </c>
      <c r="X48" s="1">
        <v>6.6130000000000004</v>
      </c>
      <c r="Z48" s="1">
        <v>44.7926</v>
      </c>
      <c r="AA48" s="1">
        <v>9.2505000000000006</v>
      </c>
      <c r="AB48" s="6"/>
      <c r="AC48" s="1">
        <v>44.787599999999998</v>
      </c>
      <c r="AD48" s="1">
        <v>8.3979999999999997</v>
      </c>
      <c r="AF48" s="1">
        <v>44.773000000000003</v>
      </c>
      <c r="AG48" s="1">
        <v>9.0485000000000007</v>
      </c>
      <c r="AI48" s="1">
        <v>44.805999999999997</v>
      </c>
      <c r="AJ48" s="1">
        <v>3.8730000000000002</v>
      </c>
      <c r="AK48" s="6"/>
      <c r="AM48" s="1">
        <v>44.775199999999998</v>
      </c>
      <c r="AN48" s="1">
        <v>15.1515</v>
      </c>
      <c r="AP48" s="1">
        <v>44.776400000000002</v>
      </c>
      <c r="AQ48" s="1">
        <v>0.83750000000000002</v>
      </c>
      <c r="AS48" s="1">
        <v>44.804299999999998</v>
      </c>
      <c r="AT48" s="1">
        <v>6.04</v>
      </c>
    </row>
    <row r="49" spans="2:46" x14ac:dyDescent="0.2">
      <c r="B49" s="1">
        <v>45.944400000000002</v>
      </c>
      <c r="C49" s="1">
        <v>19.460999999999999</v>
      </c>
      <c r="E49" s="1">
        <v>45.806600000000003</v>
      </c>
      <c r="F49" s="1">
        <v>16.588999999999999</v>
      </c>
      <c r="H49" s="1">
        <v>45.786900000000003</v>
      </c>
      <c r="I49" s="1">
        <v>14.846</v>
      </c>
      <c r="J49" s="6"/>
      <c r="K49" s="1">
        <v>45.778599999999997</v>
      </c>
      <c r="L49" s="1">
        <v>18.605</v>
      </c>
      <c r="N49" s="1">
        <v>45.826000000000001</v>
      </c>
      <c r="O49" s="1">
        <v>8.7835000000000001</v>
      </c>
      <c r="Q49" s="1">
        <v>45.795999999999999</v>
      </c>
      <c r="R49" s="1">
        <v>6.9755000000000003</v>
      </c>
      <c r="S49" s="6"/>
      <c r="T49" s="1">
        <v>45.777500000000003</v>
      </c>
      <c r="U49" s="1">
        <v>6.8825000000000003</v>
      </c>
      <c r="W49" s="1">
        <v>45.803100000000001</v>
      </c>
      <c r="X49" s="1">
        <v>6.5525000000000002</v>
      </c>
      <c r="Z49" s="1">
        <v>45.7986</v>
      </c>
      <c r="AA49" s="1">
        <v>9.1705000000000005</v>
      </c>
      <c r="AB49" s="6"/>
      <c r="AC49" s="1">
        <v>45.793700000000001</v>
      </c>
      <c r="AD49" s="1">
        <v>8.3004999999999995</v>
      </c>
      <c r="AF49" s="1">
        <v>45.777799999999999</v>
      </c>
      <c r="AG49" s="1">
        <v>8.9405000000000001</v>
      </c>
      <c r="AI49" s="1">
        <v>45.809199999999997</v>
      </c>
      <c r="AJ49" s="1">
        <v>3.8014999999999999</v>
      </c>
      <c r="AK49" s="6"/>
      <c r="AM49" s="1">
        <v>45.780799999999999</v>
      </c>
      <c r="AN49" s="1">
        <v>15.048500000000001</v>
      </c>
      <c r="AP49" s="1">
        <v>45.781300000000002</v>
      </c>
      <c r="AQ49" s="1">
        <v>0.76100000000000001</v>
      </c>
      <c r="AS49" s="1">
        <v>45.808599999999998</v>
      </c>
      <c r="AT49" s="1">
        <v>5.9580000000000002</v>
      </c>
    </row>
    <row r="50" spans="2:46" x14ac:dyDescent="0.2">
      <c r="B50" s="1">
        <v>46.950299999999999</v>
      </c>
      <c r="C50" s="1">
        <v>19.376999999999999</v>
      </c>
      <c r="E50" s="1">
        <v>46.8123</v>
      </c>
      <c r="F50" s="1">
        <v>16.518000000000001</v>
      </c>
      <c r="H50" s="1">
        <v>46.790700000000001</v>
      </c>
      <c r="I50" s="1">
        <v>14.756</v>
      </c>
      <c r="J50" s="6"/>
      <c r="K50" s="1">
        <v>46.784599999999998</v>
      </c>
      <c r="L50" s="1">
        <v>18.518999999999998</v>
      </c>
      <c r="N50" s="1">
        <v>46.832500000000003</v>
      </c>
      <c r="O50" s="1">
        <v>8.7125000000000004</v>
      </c>
      <c r="Q50" s="1">
        <v>46.8003</v>
      </c>
      <c r="R50" s="1">
        <v>6.9119999999999999</v>
      </c>
      <c r="S50" s="6"/>
      <c r="T50" s="1">
        <v>46.784199999999998</v>
      </c>
      <c r="U50" s="1">
        <v>6.8295000000000003</v>
      </c>
      <c r="W50" s="1">
        <v>46.808399999999999</v>
      </c>
      <c r="X50" s="1">
        <v>6.4870000000000001</v>
      </c>
      <c r="Z50" s="1">
        <v>46.8033</v>
      </c>
      <c r="AA50" s="1">
        <v>9.1065000000000005</v>
      </c>
      <c r="AB50" s="6"/>
      <c r="AC50" s="1">
        <v>46.799599999999998</v>
      </c>
      <c r="AD50" s="1">
        <v>8.2040000000000006</v>
      </c>
      <c r="AF50" s="1">
        <v>46.781399999999998</v>
      </c>
      <c r="AG50" s="1">
        <v>8.8260000000000005</v>
      </c>
      <c r="AI50" s="1">
        <v>46.817399999999999</v>
      </c>
      <c r="AJ50" s="1">
        <v>3.7330000000000001</v>
      </c>
      <c r="AK50" s="6"/>
      <c r="AM50" s="1">
        <v>46.788899999999998</v>
      </c>
      <c r="AN50" s="1">
        <v>14.9565</v>
      </c>
      <c r="AP50" s="1">
        <v>46.787500000000001</v>
      </c>
      <c r="AQ50" s="1">
        <v>0.68899999999999995</v>
      </c>
      <c r="AS50" s="1">
        <v>46.813600000000001</v>
      </c>
      <c r="AT50" s="1">
        <v>5.8715000000000002</v>
      </c>
    </row>
    <row r="51" spans="2:46" x14ac:dyDescent="0.2">
      <c r="B51" s="1">
        <v>47.955300000000001</v>
      </c>
      <c r="C51" s="1">
        <v>19.307500000000001</v>
      </c>
      <c r="E51" s="1">
        <v>47.816800000000001</v>
      </c>
      <c r="F51" s="1">
        <v>16.4285</v>
      </c>
      <c r="H51" s="1">
        <v>47.7988</v>
      </c>
      <c r="I51" s="1">
        <v>14.68</v>
      </c>
      <c r="J51" s="6"/>
      <c r="K51" s="1">
        <v>47.788899999999998</v>
      </c>
      <c r="L51" s="1">
        <v>18.419499999999999</v>
      </c>
      <c r="N51" s="1">
        <v>47.839500000000001</v>
      </c>
      <c r="O51" s="1">
        <v>8.6349999999999998</v>
      </c>
      <c r="Q51" s="1">
        <v>47.804000000000002</v>
      </c>
      <c r="R51" s="1">
        <v>6.8395000000000001</v>
      </c>
      <c r="S51" s="6"/>
      <c r="T51" s="1">
        <v>47.792499999999997</v>
      </c>
      <c r="U51" s="1">
        <v>6.7880000000000003</v>
      </c>
      <c r="W51" s="1">
        <v>47.813200000000002</v>
      </c>
      <c r="X51" s="1">
        <v>6.4249999999999998</v>
      </c>
      <c r="Z51" s="1">
        <v>47.808199999999999</v>
      </c>
      <c r="AA51" s="1">
        <v>9.0299999999999994</v>
      </c>
      <c r="AB51" s="6"/>
      <c r="AC51" s="1">
        <v>47.805599999999998</v>
      </c>
      <c r="AD51" s="1">
        <v>8.1054999999999993</v>
      </c>
      <c r="AF51" s="1">
        <v>47.787999999999997</v>
      </c>
      <c r="AG51" s="1">
        <v>8.7210000000000001</v>
      </c>
      <c r="AI51" s="1">
        <v>47.820999999999998</v>
      </c>
      <c r="AJ51" s="1">
        <v>3.6579999999999999</v>
      </c>
      <c r="AK51" s="6"/>
      <c r="AM51" s="1">
        <v>47.796100000000003</v>
      </c>
      <c r="AN51" s="1">
        <v>14.859</v>
      </c>
      <c r="AP51" s="1">
        <v>47.791800000000002</v>
      </c>
      <c r="AQ51" s="1">
        <v>0.61599999999999999</v>
      </c>
      <c r="AS51" s="1">
        <v>47.817599999999999</v>
      </c>
      <c r="AT51" s="1">
        <v>5.7895000000000003</v>
      </c>
    </row>
    <row r="52" spans="2:46" x14ac:dyDescent="0.2">
      <c r="B52" s="1">
        <v>48.960999999999999</v>
      </c>
      <c r="C52" s="1">
        <v>19.231999999999999</v>
      </c>
      <c r="E52" s="1">
        <v>48.822200000000002</v>
      </c>
      <c r="F52" s="1">
        <v>16.345500000000001</v>
      </c>
      <c r="H52" s="1">
        <v>48.805199999999999</v>
      </c>
      <c r="I52" s="1">
        <v>14.6</v>
      </c>
      <c r="J52" s="6"/>
      <c r="K52" s="1">
        <v>48.791800000000002</v>
      </c>
      <c r="L52" s="1">
        <v>18.326499999999999</v>
      </c>
      <c r="N52" s="1">
        <v>48.850200000000001</v>
      </c>
      <c r="O52" s="1">
        <v>8.57</v>
      </c>
      <c r="Q52" s="1">
        <v>48.808999999999997</v>
      </c>
      <c r="R52" s="1">
        <v>6.7774999999999999</v>
      </c>
      <c r="S52" s="6"/>
      <c r="T52" s="1">
        <v>48.798299999999998</v>
      </c>
      <c r="U52" s="1">
        <v>6.7320000000000002</v>
      </c>
      <c r="W52" s="1">
        <v>48.819200000000002</v>
      </c>
      <c r="X52" s="1">
        <v>6.367</v>
      </c>
      <c r="Z52" s="1">
        <v>48.813400000000001</v>
      </c>
      <c r="AA52" s="1">
        <v>8.9480000000000004</v>
      </c>
      <c r="AB52" s="6"/>
      <c r="AC52" s="1">
        <v>48.812800000000003</v>
      </c>
      <c r="AD52" s="1">
        <v>8.01</v>
      </c>
      <c r="AF52" s="1">
        <v>48.792900000000003</v>
      </c>
      <c r="AG52" s="1">
        <v>8.6069999999999993</v>
      </c>
      <c r="AI52" s="1">
        <v>48.825299999999999</v>
      </c>
      <c r="AJ52" s="1">
        <v>3.585</v>
      </c>
      <c r="AK52" s="6"/>
      <c r="AM52" s="1">
        <v>48.798200000000001</v>
      </c>
      <c r="AN52" s="1">
        <v>14.765499999999999</v>
      </c>
      <c r="AP52" s="1">
        <v>48.797800000000002</v>
      </c>
      <c r="AQ52" s="1">
        <v>0.54500000000000004</v>
      </c>
      <c r="AS52" s="1">
        <v>48.823999999999998</v>
      </c>
      <c r="AT52" s="1">
        <v>5.7030000000000003</v>
      </c>
    </row>
    <row r="53" spans="2:46" x14ac:dyDescent="0.2">
      <c r="B53" s="1">
        <v>49.967500000000001</v>
      </c>
      <c r="C53" s="1">
        <v>19.161000000000001</v>
      </c>
      <c r="E53" s="1">
        <v>49.826000000000001</v>
      </c>
      <c r="F53" s="1">
        <v>16.268999999999998</v>
      </c>
      <c r="H53" s="1">
        <v>49.811900000000001</v>
      </c>
      <c r="I53" s="1">
        <v>14.52</v>
      </c>
      <c r="J53" s="6"/>
      <c r="K53" s="1">
        <v>49.795200000000001</v>
      </c>
      <c r="L53" s="1">
        <v>18.233000000000001</v>
      </c>
      <c r="N53" s="1">
        <v>49.855400000000003</v>
      </c>
      <c r="O53" s="1">
        <v>8.5035000000000007</v>
      </c>
      <c r="Q53" s="1">
        <v>49.818100000000001</v>
      </c>
      <c r="R53" s="1">
        <v>6.7060000000000004</v>
      </c>
      <c r="S53" s="6"/>
      <c r="T53" s="1">
        <v>49.803899999999999</v>
      </c>
      <c r="U53" s="1">
        <v>6.6825000000000001</v>
      </c>
      <c r="W53" s="1">
        <v>49.827500000000001</v>
      </c>
      <c r="X53" s="1">
        <v>6.3029999999999999</v>
      </c>
      <c r="Z53" s="1">
        <v>49.82</v>
      </c>
      <c r="AA53" s="1">
        <v>8.8719999999999999</v>
      </c>
      <c r="AB53" s="6"/>
      <c r="AC53" s="1">
        <v>49.819099999999999</v>
      </c>
      <c r="AD53" s="1">
        <v>7.9089999999999998</v>
      </c>
      <c r="AF53" s="1">
        <v>49.800600000000003</v>
      </c>
      <c r="AG53" s="1">
        <v>8.5060000000000002</v>
      </c>
      <c r="AI53" s="1">
        <v>49.829900000000002</v>
      </c>
      <c r="AJ53" s="1">
        <v>3.5234999999999999</v>
      </c>
      <c r="AK53" s="6"/>
      <c r="AM53" s="1">
        <v>49.800800000000002</v>
      </c>
      <c r="AN53" s="1">
        <v>14.669499999999999</v>
      </c>
      <c r="AP53" s="1">
        <v>49.805500000000002</v>
      </c>
      <c r="AQ53" s="1">
        <v>0.47349999999999998</v>
      </c>
      <c r="AS53" s="1">
        <v>49.826799999999999</v>
      </c>
      <c r="AT53" s="1">
        <v>5.6219999999999999</v>
      </c>
    </row>
    <row r="54" spans="2:46" x14ac:dyDescent="0.2">
      <c r="B54" s="1">
        <v>50.972499999999997</v>
      </c>
      <c r="C54" s="1">
        <v>19.083500000000001</v>
      </c>
      <c r="E54" s="1">
        <v>50.828299999999999</v>
      </c>
      <c r="F54" s="1">
        <v>16.185500000000001</v>
      </c>
      <c r="H54" s="1">
        <v>50.819400000000002</v>
      </c>
      <c r="I54" s="1">
        <v>14.442</v>
      </c>
      <c r="J54" s="6"/>
      <c r="K54" s="1">
        <v>50.800199999999997</v>
      </c>
      <c r="L54" s="1">
        <v>18.132000000000001</v>
      </c>
      <c r="N54" s="1">
        <v>50.858899999999998</v>
      </c>
      <c r="O54" s="1">
        <v>8.4295000000000009</v>
      </c>
      <c r="Q54" s="1">
        <v>50.825200000000002</v>
      </c>
      <c r="R54" s="1">
        <v>6.6440000000000001</v>
      </c>
      <c r="S54" s="6"/>
      <c r="T54" s="1">
        <v>50.808900000000001</v>
      </c>
      <c r="U54" s="1">
        <v>6.6284999999999998</v>
      </c>
      <c r="W54" s="1">
        <v>50.832000000000001</v>
      </c>
      <c r="X54" s="1">
        <v>6.2409999999999997</v>
      </c>
      <c r="Z54" s="1">
        <v>50.824100000000001</v>
      </c>
      <c r="AA54" s="1">
        <v>8.7929999999999993</v>
      </c>
      <c r="AB54" s="6"/>
      <c r="AC54" s="1">
        <v>50.825400000000002</v>
      </c>
      <c r="AD54" s="1">
        <v>7.8179999999999996</v>
      </c>
      <c r="AF54" s="1">
        <v>50.806800000000003</v>
      </c>
      <c r="AG54" s="1">
        <v>8.3975000000000009</v>
      </c>
      <c r="AI54" s="1">
        <v>50.835000000000001</v>
      </c>
      <c r="AJ54" s="1">
        <v>3.4510000000000001</v>
      </c>
      <c r="AK54" s="6"/>
      <c r="AM54" s="1">
        <v>50.806699999999999</v>
      </c>
      <c r="AN54" s="1">
        <v>14.583</v>
      </c>
      <c r="AP54" s="1">
        <v>50.811599999999999</v>
      </c>
      <c r="AQ54" s="1">
        <v>0.39350000000000002</v>
      </c>
      <c r="AS54" s="1">
        <v>50.832999999999998</v>
      </c>
      <c r="AT54" s="1">
        <v>5.5484999999999998</v>
      </c>
    </row>
    <row r="55" spans="2:46" x14ac:dyDescent="0.2">
      <c r="B55" s="1">
        <v>51.977800000000002</v>
      </c>
      <c r="C55" s="1">
        <v>19.006</v>
      </c>
      <c r="E55" s="1">
        <v>51.8324</v>
      </c>
      <c r="F55" s="1">
        <v>16.107500000000002</v>
      </c>
      <c r="H55" s="1">
        <v>51.828800000000001</v>
      </c>
      <c r="I55" s="1">
        <v>14.358499999999999</v>
      </c>
      <c r="J55" s="6"/>
      <c r="K55" s="1">
        <v>51.805399999999999</v>
      </c>
      <c r="L55" s="1">
        <v>18.0395</v>
      </c>
      <c r="N55" s="1">
        <v>51.863799999999998</v>
      </c>
      <c r="O55" s="1">
        <v>8.3505000000000003</v>
      </c>
      <c r="Q55" s="1">
        <v>51.831400000000002</v>
      </c>
      <c r="R55" s="1">
        <v>6.5819999999999999</v>
      </c>
      <c r="S55" s="6"/>
      <c r="T55" s="1">
        <v>51.813800000000001</v>
      </c>
      <c r="U55" s="1">
        <v>6.5735000000000001</v>
      </c>
      <c r="W55" s="1">
        <v>51.837800000000001</v>
      </c>
      <c r="X55" s="1">
        <v>6.1814999999999998</v>
      </c>
      <c r="Z55" s="1">
        <v>51.828299999999999</v>
      </c>
      <c r="AA55" s="1">
        <v>8.7200000000000006</v>
      </c>
      <c r="AB55" s="6"/>
      <c r="AC55" s="1">
        <v>51.834899999999998</v>
      </c>
      <c r="AD55" s="1">
        <v>7.7190000000000003</v>
      </c>
      <c r="AF55" s="1">
        <v>51.8125</v>
      </c>
      <c r="AG55" s="1">
        <v>8.2850000000000001</v>
      </c>
      <c r="AI55" s="1">
        <v>51.8429</v>
      </c>
      <c r="AJ55" s="1">
        <v>3.375</v>
      </c>
      <c r="AK55" s="6"/>
      <c r="AM55" s="1">
        <v>51.811900000000001</v>
      </c>
      <c r="AN55" s="1">
        <v>14.484</v>
      </c>
      <c r="AP55" s="1">
        <v>51.817500000000003</v>
      </c>
      <c r="AQ55" s="1">
        <v>0.316</v>
      </c>
      <c r="AS55" s="1">
        <v>51.838500000000003</v>
      </c>
      <c r="AT55" s="1">
        <v>5.4654999999999996</v>
      </c>
    </row>
    <row r="56" spans="2:46" x14ac:dyDescent="0.2">
      <c r="B56" s="1">
        <v>52.985199999999999</v>
      </c>
      <c r="C56" s="1">
        <v>18.9375</v>
      </c>
      <c r="E56" s="1">
        <v>52.836399999999998</v>
      </c>
      <c r="F56" s="1">
        <v>16.0215</v>
      </c>
      <c r="H56" s="1">
        <v>52.834400000000002</v>
      </c>
      <c r="I56" s="1">
        <v>14.279500000000001</v>
      </c>
      <c r="J56" s="6"/>
      <c r="K56" s="1">
        <v>52.811399999999999</v>
      </c>
      <c r="L56" s="1">
        <v>17.942499999999999</v>
      </c>
      <c r="N56" s="1">
        <v>52.871200000000002</v>
      </c>
      <c r="O56" s="1">
        <v>8.2769999999999992</v>
      </c>
      <c r="Q56" s="1">
        <v>52.836300000000001</v>
      </c>
      <c r="R56" s="1">
        <v>6.5145</v>
      </c>
      <c r="S56" s="6"/>
      <c r="T56" s="1">
        <v>52.817399999999999</v>
      </c>
      <c r="U56" s="1">
        <v>6.5250000000000004</v>
      </c>
      <c r="W56" s="1">
        <v>52.844000000000001</v>
      </c>
      <c r="X56" s="1">
        <v>6.1204999999999998</v>
      </c>
      <c r="Z56" s="1">
        <v>52.837600000000002</v>
      </c>
      <c r="AA56" s="1">
        <v>8.6464999999999996</v>
      </c>
      <c r="AB56" s="6"/>
      <c r="AC56" s="1">
        <v>52.843699999999998</v>
      </c>
      <c r="AD56" s="1">
        <v>7.6210000000000004</v>
      </c>
      <c r="AF56" s="1">
        <v>52.819099999999999</v>
      </c>
      <c r="AG56" s="1">
        <v>8.1795000000000009</v>
      </c>
      <c r="AI56" s="1">
        <v>52.849200000000003</v>
      </c>
      <c r="AJ56" s="1">
        <v>3.3025000000000002</v>
      </c>
      <c r="AK56" s="6"/>
      <c r="AM56" s="1">
        <v>52.819800000000001</v>
      </c>
      <c r="AN56" s="1">
        <v>14.388999999999999</v>
      </c>
      <c r="AP56" s="1">
        <v>52.821199999999997</v>
      </c>
      <c r="AQ56" s="1">
        <v>0.23599999999999999</v>
      </c>
      <c r="AS56" s="1">
        <v>52.841799999999999</v>
      </c>
      <c r="AT56" s="1">
        <v>5.3819999999999997</v>
      </c>
    </row>
    <row r="57" spans="2:46" x14ac:dyDescent="0.2">
      <c r="B57" s="1">
        <v>53.989899999999999</v>
      </c>
      <c r="C57" s="1">
        <v>18.863499999999998</v>
      </c>
      <c r="E57" s="1">
        <v>53.840699999999998</v>
      </c>
      <c r="F57" s="1">
        <v>15.932</v>
      </c>
      <c r="H57" s="1">
        <v>53.839300000000001</v>
      </c>
      <c r="I57" s="1">
        <v>14.2035</v>
      </c>
      <c r="J57" s="6"/>
      <c r="K57" s="1">
        <v>53.815800000000003</v>
      </c>
      <c r="L57" s="1">
        <v>17.837</v>
      </c>
      <c r="N57" s="1">
        <v>53.875599999999999</v>
      </c>
      <c r="O57" s="1">
        <v>8.1959999999999997</v>
      </c>
      <c r="Q57" s="1">
        <v>53.842399999999998</v>
      </c>
      <c r="R57" s="1">
        <v>6.4444999999999997</v>
      </c>
      <c r="S57" s="6"/>
      <c r="T57" s="1">
        <v>53.822299999999998</v>
      </c>
      <c r="U57" s="1">
        <v>6.4764999999999997</v>
      </c>
      <c r="W57" s="1">
        <v>53.848799999999997</v>
      </c>
      <c r="X57" s="1">
        <v>6.056</v>
      </c>
      <c r="Z57" s="1">
        <v>53.844099999999997</v>
      </c>
      <c r="AA57" s="1">
        <v>8.5749999999999993</v>
      </c>
      <c r="AB57" s="6"/>
      <c r="AC57" s="1">
        <v>53.848999999999997</v>
      </c>
      <c r="AD57" s="1">
        <v>7.5119999999999996</v>
      </c>
      <c r="AF57" s="1">
        <v>53.825800000000001</v>
      </c>
      <c r="AG57" s="1">
        <v>8.0690000000000008</v>
      </c>
      <c r="AI57" s="1">
        <v>53.8553</v>
      </c>
      <c r="AJ57" s="1">
        <v>3.2225000000000001</v>
      </c>
      <c r="AK57" s="6"/>
      <c r="AM57" s="1">
        <v>53.8264</v>
      </c>
      <c r="AN57" s="1">
        <v>14.295500000000001</v>
      </c>
      <c r="AP57" s="1">
        <v>53.825400000000002</v>
      </c>
      <c r="AQ57" s="1">
        <v>0.14899999999999999</v>
      </c>
      <c r="AS57" s="1">
        <v>53.844900000000003</v>
      </c>
      <c r="AT57" s="1">
        <v>5.2930000000000001</v>
      </c>
    </row>
    <row r="58" spans="2:46" x14ac:dyDescent="0.2">
      <c r="B58" s="1">
        <v>54.997500000000002</v>
      </c>
      <c r="C58" s="1">
        <v>18.783999999999999</v>
      </c>
      <c r="E58" s="1">
        <v>54.847200000000001</v>
      </c>
      <c r="F58" s="1">
        <v>15.8485</v>
      </c>
      <c r="H58" s="1">
        <v>54.844900000000003</v>
      </c>
      <c r="I58" s="1">
        <v>14.1235</v>
      </c>
      <c r="J58" s="6"/>
      <c r="K58" s="1">
        <v>54.822299999999998</v>
      </c>
      <c r="L58" s="1">
        <v>17.739999999999998</v>
      </c>
      <c r="N58" s="1">
        <v>54.881599999999999</v>
      </c>
      <c r="O58" s="1">
        <v>8.1280000000000001</v>
      </c>
      <c r="Q58" s="1">
        <v>54.850099999999998</v>
      </c>
      <c r="R58" s="1">
        <v>6.3765000000000001</v>
      </c>
      <c r="S58" s="6"/>
      <c r="T58" s="1">
        <v>54.828099999999999</v>
      </c>
      <c r="U58" s="1">
        <v>6.4249999999999998</v>
      </c>
      <c r="W58" s="1">
        <v>54.852899999999998</v>
      </c>
      <c r="X58" s="1">
        <v>5.9889999999999999</v>
      </c>
      <c r="Z58" s="1">
        <v>54.849299999999999</v>
      </c>
      <c r="AA58" s="1">
        <v>8.5024999999999995</v>
      </c>
      <c r="AB58" s="6"/>
      <c r="AC58" s="1">
        <v>54.854799999999997</v>
      </c>
      <c r="AD58" s="1">
        <v>7.4165000000000001</v>
      </c>
      <c r="AF58" s="1">
        <v>54.832299999999996</v>
      </c>
      <c r="AG58" s="1">
        <v>7.9509999999999996</v>
      </c>
      <c r="AI58" s="1">
        <v>54.861499999999999</v>
      </c>
      <c r="AJ58" s="1">
        <v>3.1520000000000001</v>
      </c>
      <c r="AK58" s="6"/>
      <c r="AM58" s="1">
        <v>54.830199999999998</v>
      </c>
      <c r="AN58" s="1">
        <v>14.199</v>
      </c>
      <c r="AP58" s="1">
        <v>54.834699999999998</v>
      </c>
      <c r="AQ58" s="1">
        <v>7.1999999999999995E-2</v>
      </c>
      <c r="AS58" s="1">
        <v>54.849800000000002</v>
      </c>
      <c r="AT58" s="1">
        <v>5.2175000000000002</v>
      </c>
    </row>
    <row r="59" spans="2:46" x14ac:dyDescent="0.2">
      <c r="B59" s="1">
        <v>56.005800000000001</v>
      </c>
      <c r="C59" s="1">
        <v>18.713000000000001</v>
      </c>
      <c r="E59" s="1">
        <v>55.853499999999997</v>
      </c>
      <c r="F59" s="1">
        <v>15.763</v>
      </c>
      <c r="H59" s="1">
        <v>55.8489</v>
      </c>
      <c r="I59" s="1">
        <v>14.047000000000001</v>
      </c>
      <c r="J59" s="6"/>
      <c r="K59" s="1">
        <v>55.829500000000003</v>
      </c>
      <c r="L59" s="1">
        <v>17.646000000000001</v>
      </c>
      <c r="N59" s="1">
        <v>55.886299999999999</v>
      </c>
      <c r="O59" s="1">
        <v>8.0549999999999997</v>
      </c>
      <c r="Q59" s="1">
        <v>55.854900000000001</v>
      </c>
      <c r="R59" s="1">
        <v>6.3120000000000003</v>
      </c>
      <c r="S59" s="6"/>
      <c r="T59" s="1">
        <v>55.833399999999997</v>
      </c>
      <c r="U59" s="1">
        <v>6.3624999999999998</v>
      </c>
      <c r="W59" s="1">
        <v>55.8553</v>
      </c>
      <c r="X59" s="1">
        <v>5.9284999999999997</v>
      </c>
      <c r="Z59" s="1">
        <v>55.855800000000002</v>
      </c>
      <c r="AA59" s="1">
        <v>8.4209999999999994</v>
      </c>
      <c r="AB59" s="6"/>
      <c r="AC59" s="1">
        <v>55.862900000000003</v>
      </c>
      <c r="AD59" s="1">
        <v>7.3135000000000003</v>
      </c>
      <c r="AF59" s="1">
        <v>55.841500000000003</v>
      </c>
      <c r="AG59" s="1">
        <v>7.8410000000000002</v>
      </c>
      <c r="AI59" s="1">
        <v>55.869599999999998</v>
      </c>
      <c r="AJ59" s="1">
        <v>3.0779999999999998</v>
      </c>
      <c r="AK59" s="6"/>
      <c r="AM59" s="1">
        <v>55.8354</v>
      </c>
      <c r="AN59" s="1">
        <v>14.1075</v>
      </c>
      <c r="AP59" s="1">
        <v>55.843400000000003</v>
      </c>
      <c r="AQ59" s="1">
        <v>2.5000000000000001E-3</v>
      </c>
      <c r="AS59" s="1">
        <v>55.857700000000001</v>
      </c>
      <c r="AT59" s="1">
        <v>5.1369999999999996</v>
      </c>
    </row>
    <row r="60" spans="2:46" x14ac:dyDescent="0.2">
      <c r="B60" s="1">
        <v>57.010300000000001</v>
      </c>
      <c r="C60" s="1">
        <v>18.6435</v>
      </c>
      <c r="E60" s="1">
        <v>56.857199999999999</v>
      </c>
      <c r="F60" s="1">
        <v>15.679500000000001</v>
      </c>
      <c r="H60" s="1">
        <v>56.854999999999997</v>
      </c>
      <c r="I60" s="1">
        <v>13.965999999999999</v>
      </c>
      <c r="J60" s="6"/>
      <c r="K60" s="1">
        <v>56.837899999999998</v>
      </c>
      <c r="L60" s="1">
        <v>17.545000000000002</v>
      </c>
      <c r="N60" s="1">
        <v>56.892000000000003</v>
      </c>
      <c r="O60" s="1">
        <v>7.9814999999999996</v>
      </c>
      <c r="Q60" s="1">
        <v>56.861699999999999</v>
      </c>
      <c r="R60" s="1">
        <v>6.2415000000000003</v>
      </c>
      <c r="S60" s="6"/>
      <c r="T60" s="1">
        <v>56.838500000000003</v>
      </c>
      <c r="U60" s="1">
        <v>6.3064999999999998</v>
      </c>
      <c r="W60" s="1">
        <v>56.861199999999997</v>
      </c>
      <c r="X60" s="1">
        <v>5.8639999999999999</v>
      </c>
      <c r="Z60" s="1">
        <v>56.862400000000001</v>
      </c>
      <c r="AA60" s="1">
        <v>8.3480000000000008</v>
      </c>
      <c r="AB60" s="6"/>
      <c r="AC60" s="1">
        <v>56.868699999999997</v>
      </c>
      <c r="AD60" s="1">
        <v>7.2160000000000002</v>
      </c>
      <c r="AF60" s="1">
        <v>56.847799999999999</v>
      </c>
      <c r="AG60" s="1">
        <v>7.7404999999999999</v>
      </c>
      <c r="AI60" s="1">
        <v>56.875399999999999</v>
      </c>
      <c r="AJ60" s="1">
        <v>3.0030000000000001</v>
      </c>
      <c r="AK60" s="6"/>
      <c r="AM60" s="1">
        <v>56.839399999999998</v>
      </c>
      <c r="AN60" s="1">
        <v>14.0075</v>
      </c>
      <c r="AP60" s="1">
        <v>56.847700000000003</v>
      </c>
      <c r="AQ60" s="1">
        <v>-5.8999999999999997E-2</v>
      </c>
      <c r="AS60" s="1">
        <v>56.863</v>
      </c>
      <c r="AT60" s="1">
        <v>5.0454999999999997</v>
      </c>
    </row>
    <row r="61" spans="2:46" x14ac:dyDescent="0.2">
      <c r="B61" s="1">
        <v>58.015900000000002</v>
      </c>
      <c r="C61" s="1">
        <v>18.572500000000002</v>
      </c>
      <c r="E61" s="1">
        <v>57.863300000000002</v>
      </c>
      <c r="F61" s="1">
        <v>15.599500000000001</v>
      </c>
      <c r="H61" s="1">
        <v>57.860799999999998</v>
      </c>
      <c r="I61" s="1">
        <v>13.88</v>
      </c>
      <c r="J61" s="6"/>
      <c r="K61" s="1">
        <v>57.844299999999997</v>
      </c>
      <c r="L61" s="1">
        <v>17.4435</v>
      </c>
      <c r="N61" s="1">
        <v>57.896999999999998</v>
      </c>
      <c r="O61" s="1">
        <v>7.8959999999999999</v>
      </c>
      <c r="Q61" s="1">
        <v>57.866100000000003</v>
      </c>
      <c r="R61" s="1">
        <v>6.1844999999999999</v>
      </c>
      <c r="S61" s="6"/>
      <c r="T61" s="1">
        <v>57.841799999999999</v>
      </c>
      <c r="U61" s="1">
        <v>6.2610000000000001</v>
      </c>
      <c r="W61" s="1">
        <v>57.866100000000003</v>
      </c>
      <c r="X61" s="1">
        <v>5.7965</v>
      </c>
      <c r="Z61" s="1">
        <v>57.869199999999999</v>
      </c>
      <c r="AA61" s="1">
        <v>8.2680000000000007</v>
      </c>
      <c r="AB61" s="6"/>
      <c r="AC61" s="1">
        <v>57.8767</v>
      </c>
      <c r="AD61" s="1">
        <v>7.1265000000000001</v>
      </c>
      <c r="AF61" s="1">
        <v>57.853400000000001</v>
      </c>
      <c r="AG61" s="1">
        <v>7.633</v>
      </c>
      <c r="AI61" s="1">
        <v>57.881900000000002</v>
      </c>
      <c r="AJ61" s="1">
        <v>2.9319999999999999</v>
      </c>
      <c r="AK61" s="6"/>
      <c r="AM61" s="1">
        <v>57.845199999999998</v>
      </c>
      <c r="AN61" s="1">
        <v>13.914999999999999</v>
      </c>
      <c r="AP61" s="1">
        <v>57.852400000000003</v>
      </c>
      <c r="AQ61" s="1">
        <v>-0.13300000000000001</v>
      </c>
      <c r="AS61" s="1">
        <v>57.868600000000001</v>
      </c>
      <c r="AT61" s="1">
        <v>4.9640000000000004</v>
      </c>
    </row>
    <row r="62" spans="2:46" x14ac:dyDescent="0.2">
      <c r="B62" s="1">
        <v>59.02</v>
      </c>
      <c r="C62" s="1">
        <v>18.491</v>
      </c>
      <c r="E62" s="1">
        <v>58.868899999999996</v>
      </c>
      <c r="F62" s="1">
        <v>15.512</v>
      </c>
      <c r="H62" s="1">
        <v>58.863399999999999</v>
      </c>
      <c r="I62" s="1">
        <v>13.8005</v>
      </c>
      <c r="J62" s="6"/>
      <c r="K62" s="1">
        <v>58.846499999999999</v>
      </c>
      <c r="L62" s="1">
        <v>17.347000000000001</v>
      </c>
      <c r="N62" s="1">
        <v>58.903199999999998</v>
      </c>
      <c r="O62" s="1">
        <v>7.8170000000000002</v>
      </c>
      <c r="Q62" s="1">
        <v>58.869700000000002</v>
      </c>
      <c r="R62" s="1">
        <v>6.1124999999999998</v>
      </c>
      <c r="S62" s="6"/>
      <c r="T62" s="1">
        <v>58.845999999999997</v>
      </c>
      <c r="U62" s="1">
        <v>6.2115</v>
      </c>
      <c r="W62" s="1">
        <v>58.8735</v>
      </c>
      <c r="X62" s="1">
        <v>5.7225000000000001</v>
      </c>
      <c r="Z62" s="1">
        <v>58.875599999999999</v>
      </c>
      <c r="AA62" s="1">
        <v>8.1829999999999998</v>
      </c>
      <c r="AB62" s="6"/>
      <c r="AC62" s="1">
        <v>58.884399999999999</v>
      </c>
      <c r="AD62" s="1">
        <v>7.0244999999999997</v>
      </c>
      <c r="AF62" s="1">
        <v>58.857799999999997</v>
      </c>
      <c r="AG62" s="1">
        <v>7.5289999999999999</v>
      </c>
      <c r="AI62" s="1">
        <v>58.889499999999998</v>
      </c>
      <c r="AJ62" s="1">
        <v>2.8504999999999998</v>
      </c>
      <c r="AK62" s="6"/>
      <c r="AM62" s="1">
        <v>58.850900000000003</v>
      </c>
      <c r="AN62" s="1">
        <v>13.818</v>
      </c>
      <c r="AP62" s="1">
        <v>58.860100000000003</v>
      </c>
      <c r="AQ62" s="1">
        <v>-0.21049999999999999</v>
      </c>
      <c r="AS62" s="1">
        <v>58.8735</v>
      </c>
      <c r="AT62" s="1">
        <v>4.8775000000000004</v>
      </c>
    </row>
    <row r="63" spans="2:46" x14ac:dyDescent="0.2">
      <c r="B63" s="1">
        <v>60.0259</v>
      </c>
      <c r="C63" s="1">
        <v>18.405999999999999</v>
      </c>
      <c r="E63" s="1">
        <v>59.873699999999999</v>
      </c>
      <c r="F63" s="1">
        <v>15.4175</v>
      </c>
      <c r="H63" s="1">
        <v>59.867899999999999</v>
      </c>
      <c r="I63" s="1">
        <v>13.717000000000001</v>
      </c>
      <c r="J63" s="6"/>
      <c r="K63" s="1">
        <v>59.8506</v>
      </c>
      <c r="L63" s="1">
        <v>17.253499999999999</v>
      </c>
      <c r="N63" s="1">
        <v>59.906799999999997</v>
      </c>
      <c r="O63" s="1">
        <v>7.7409999999999997</v>
      </c>
      <c r="Q63" s="1">
        <v>59.874499999999998</v>
      </c>
      <c r="R63" s="1">
        <v>6.0465</v>
      </c>
      <c r="S63" s="6"/>
      <c r="T63" s="1">
        <v>59.850700000000003</v>
      </c>
      <c r="U63" s="1">
        <v>6.1550000000000002</v>
      </c>
      <c r="W63" s="1">
        <v>59.880499999999998</v>
      </c>
      <c r="X63" s="1">
        <v>5.6630000000000003</v>
      </c>
      <c r="Z63" s="1">
        <v>59.884500000000003</v>
      </c>
      <c r="AA63" s="1">
        <v>8.1020000000000003</v>
      </c>
      <c r="AB63" s="6"/>
      <c r="AC63" s="1">
        <v>59.889299999999999</v>
      </c>
      <c r="AD63" s="1">
        <v>6.92</v>
      </c>
      <c r="AF63" s="1">
        <v>59.866199999999999</v>
      </c>
      <c r="AG63" s="1">
        <v>7.415</v>
      </c>
      <c r="AI63" s="1">
        <v>59.894399999999997</v>
      </c>
      <c r="AJ63" s="1">
        <v>2.774</v>
      </c>
      <c r="AK63" s="6"/>
      <c r="AM63" s="1">
        <v>59.857799999999997</v>
      </c>
      <c r="AN63" s="1">
        <v>13.717000000000001</v>
      </c>
      <c r="AP63" s="1">
        <v>59.866900000000001</v>
      </c>
      <c r="AQ63" s="1">
        <v>-0.28149999999999997</v>
      </c>
      <c r="AS63" s="1">
        <v>59.8767</v>
      </c>
      <c r="AT63" s="1">
        <v>4.7949999999999999</v>
      </c>
    </row>
    <row r="64" spans="2:46" x14ac:dyDescent="0.2">
      <c r="B64" s="1">
        <v>61.031500000000001</v>
      </c>
      <c r="C64" s="1">
        <v>18.3355</v>
      </c>
      <c r="E64" s="1">
        <v>60.878300000000003</v>
      </c>
      <c r="F64" s="1">
        <v>15.327</v>
      </c>
      <c r="H64" s="1">
        <v>60.873899999999999</v>
      </c>
      <c r="I64" s="1">
        <v>13.6325</v>
      </c>
      <c r="J64" s="6"/>
      <c r="K64" s="1">
        <v>60.856099999999998</v>
      </c>
      <c r="L64" s="1">
        <v>17.165500000000002</v>
      </c>
      <c r="N64" s="1">
        <v>60.912100000000002</v>
      </c>
      <c r="O64" s="1">
        <v>7.6704999999999997</v>
      </c>
      <c r="Q64" s="1">
        <v>60.879199999999997</v>
      </c>
      <c r="R64" s="1">
        <v>5.9729999999999999</v>
      </c>
      <c r="S64" s="6"/>
      <c r="T64" s="1">
        <v>60.855699999999999</v>
      </c>
      <c r="U64" s="1">
        <v>6.0990000000000002</v>
      </c>
      <c r="W64" s="1">
        <v>60.885100000000001</v>
      </c>
      <c r="X64" s="1">
        <v>5.593</v>
      </c>
      <c r="Z64" s="1">
        <v>60.890900000000002</v>
      </c>
      <c r="AA64" s="1">
        <v>8.0214999999999996</v>
      </c>
      <c r="AB64" s="6"/>
      <c r="AC64" s="1">
        <v>60.8964</v>
      </c>
      <c r="AD64" s="1">
        <v>6.8105000000000002</v>
      </c>
      <c r="AF64" s="1">
        <v>60.874499999999998</v>
      </c>
      <c r="AG64" s="1">
        <v>7.3045</v>
      </c>
      <c r="AI64" s="1">
        <v>60.900100000000002</v>
      </c>
      <c r="AJ64" s="1">
        <v>2.7044999999999999</v>
      </c>
      <c r="AK64" s="6"/>
      <c r="AM64" s="1">
        <v>60.864800000000002</v>
      </c>
      <c r="AN64" s="1">
        <v>13.6225</v>
      </c>
      <c r="AP64" s="1">
        <v>60.873699999999999</v>
      </c>
      <c r="AQ64" s="1">
        <v>-0.36</v>
      </c>
      <c r="AS64" s="1">
        <v>60.882399999999997</v>
      </c>
      <c r="AT64" s="1">
        <v>4.7140000000000004</v>
      </c>
    </row>
    <row r="65" spans="2:46" x14ac:dyDescent="0.2">
      <c r="B65" s="1">
        <v>62.0351</v>
      </c>
      <c r="C65" s="1">
        <v>18.253</v>
      </c>
      <c r="E65" s="1">
        <v>61.888100000000001</v>
      </c>
      <c r="F65" s="1">
        <v>15.244</v>
      </c>
      <c r="H65" s="1">
        <v>61.8795</v>
      </c>
      <c r="I65" s="1">
        <v>13.5595</v>
      </c>
      <c r="J65" s="6"/>
      <c r="K65" s="1">
        <v>61.860300000000002</v>
      </c>
      <c r="L65" s="1">
        <v>17.0595</v>
      </c>
      <c r="N65" s="1">
        <v>62.008299999999998</v>
      </c>
      <c r="O65" s="1">
        <v>7.6050000000000004</v>
      </c>
      <c r="Q65" s="1">
        <v>61.885899999999999</v>
      </c>
      <c r="R65" s="1">
        <v>5.9135</v>
      </c>
      <c r="S65" s="6"/>
      <c r="T65" s="1">
        <v>61.862000000000002</v>
      </c>
      <c r="U65" s="1">
        <v>6.04</v>
      </c>
      <c r="W65" s="1">
        <v>61.892099999999999</v>
      </c>
      <c r="X65" s="1">
        <v>5.5289999999999999</v>
      </c>
      <c r="Z65" s="1">
        <v>61.898099999999999</v>
      </c>
      <c r="AA65" s="1">
        <v>7.9480000000000004</v>
      </c>
      <c r="AB65" s="6"/>
      <c r="AC65" s="1">
        <v>61.903399999999998</v>
      </c>
      <c r="AD65" s="1">
        <v>6.7115</v>
      </c>
      <c r="AF65" s="1">
        <v>61.879300000000001</v>
      </c>
      <c r="AG65" s="1">
        <v>7.1970000000000001</v>
      </c>
      <c r="AI65" s="1">
        <v>61.906300000000002</v>
      </c>
      <c r="AJ65" s="1">
        <v>2.6215000000000002</v>
      </c>
      <c r="AK65" s="6"/>
      <c r="AM65" s="1">
        <v>61.870399999999997</v>
      </c>
      <c r="AN65" s="1">
        <v>13.5245</v>
      </c>
      <c r="AP65" s="1">
        <v>61.881700000000002</v>
      </c>
      <c r="AQ65" s="1">
        <v>-0.4425</v>
      </c>
      <c r="AS65" s="1">
        <v>61.886400000000002</v>
      </c>
      <c r="AT65" s="1">
        <v>4.6360000000000001</v>
      </c>
    </row>
    <row r="66" spans="2:46" x14ac:dyDescent="0.2">
      <c r="B66" s="1">
        <v>63.040100000000002</v>
      </c>
      <c r="C66" s="1">
        <v>18.176500000000001</v>
      </c>
      <c r="E66" s="1">
        <v>62.895600000000002</v>
      </c>
      <c r="F66" s="1">
        <v>15.151</v>
      </c>
      <c r="H66" s="1">
        <v>62.886699999999998</v>
      </c>
      <c r="I66" s="1">
        <v>13.474</v>
      </c>
      <c r="J66" s="6"/>
      <c r="K66" s="1">
        <v>62.867400000000004</v>
      </c>
      <c r="L66" s="1">
        <v>16.960999999999999</v>
      </c>
      <c r="N66" s="1">
        <v>63.014200000000002</v>
      </c>
      <c r="O66" s="1">
        <v>7.5305</v>
      </c>
      <c r="Q66" s="1">
        <v>62.889600000000002</v>
      </c>
      <c r="R66" s="1">
        <v>5.8440000000000003</v>
      </c>
      <c r="S66" s="6"/>
      <c r="T66" s="1">
        <v>62.866799999999998</v>
      </c>
      <c r="U66" s="1">
        <v>5.9794999999999998</v>
      </c>
      <c r="W66" s="1">
        <v>62.899799999999999</v>
      </c>
      <c r="X66" s="1">
        <v>5.4515000000000002</v>
      </c>
      <c r="Z66" s="1">
        <v>62.904800000000002</v>
      </c>
      <c r="AA66" s="1">
        <v>7.8644999999999996</v>
      </c>
      <c r="AB66" s="6"/>
      <c r="AC66" s="1">
        <v>62.907200000000003</v>
      </c>
      <c r="AD66" s="1">
        <v>6.6105</v>
      </c>
      <c r="AF66" s="1">
        <v>62.883400000000002</v>
      </c>
      <c r="AG66" s="1">
        <v>7.0895000000000001</v>
      </c>
      <c r="AI66" s="1">
        <v>62.913200000000003</v>
      </c>
      <c r="AJ66" s="1">
        <v>2.5545</v>
      </c>
      <c r="AK66" s="6"/>
      <c r="AM66" s="1">
        <v>62.875500000000002</v>
      </c>
      <c r="AN66" s="1">
        <v>13.435499999999999</v>
      </c>
      <c r="AP66" s="1">
        <v>62.8872</v>
      </c>
      <c r="AQ66" s="1">
        <v>-0.51900000000000002</v>
      </c>
      <c r="AS66" s="1">
        <v>62.893900000000002</v>
      </c>
      <c r="AT66" s="1">
        <v>4.5425000000000004</v>
      </c>
    </row>
    <row r="67" spans="2:46" x14ac:dyDescent="0.2">
      <c r="B67" s="1">
        <v>64.046899999999994</v>
      </c>
      <c r="C67" s="1">
        <v>18.100999999999999</v>
      </c>
      <c r="E67" s="1">
        <v>63.903300000000002</v>
      </c>
      <c r="F67" s="1">
        <v>15.064</v>
      </c>
      <c r="H67" s="1">
        <v>63.894300000000001</v>
      </c>
      <c r="I67" s="1">
        <v>13.388999999999999</v>
      </c>
      <c r="J67" s="6"/>
      <c r="K67" s="1">
        <v>63.874299999999998</v>
      </c>
      <c r="L67" s="1">
        <v>16.859000000000002</v>
      </c>
      <c r="N67" s="1">
        <v>64.017099999999999</v>
      </c>
      <c r="O67" s="1">
        <v>7.4669999999999996</v>
      </c>
      <c r="Q67" s="1">
        <v>63.8949</v>
      </c>
      <c r="R67" s="1">
        <v>5.7765000000000004</v>
      </c>
      <c r="S67" s="6"/>
      <c r="T67" s="1">
        <v>63.873899999999999</v>
      </c>
      <c r="U67" s="1">
        <v>5.9204999999999997</v>
      </c>
      <c r="W67" s="1">
        <v>63.909799999999997</v>
      </c>
      <c r="X67" s="1">
        <v>5.3825000000000003</v>
      </c>
      <c r="Z67" s="1">
        <v>63.908999999999999</v>
      </c>
      <c r="AA67" s="1">
        <v>7.7859999999999996</v>
      </c>
      <c r="AB67" s="6"/>
      <c r="AC67" s="1">
        <v>63.912100000000002</v>
      </c>
      <c r="AD67" s="1">
        <v>6.5060000000000002</v>
      </c>
      <c r="AF67" s="1">
        <v>63.889800000000001</v>
      </c>
      <c r="AG67" s="1">
        <v>6.9829999999999997</v>
      </c>
      <c r="AI67" s="1">
        <v>63.9206</v>
      </c>
      <c r="AJ67" s="1">
        <v>2.4794999999999998</v>
      </c>
      <c r="AK67" s="6"/>
      <c r="AM67" s="1">
        <v>63.878100000000003</v>
      </c>
      <c r="AN67" s="1">
        <v>13.330500000000001</v>
      </c>
      <c r="AP67" s="1">
        <v>63.892600000000002</v>
      </c>
      <c r="AQ67" s="1">
        <v>-0.58299999999999996</v>
      </c>
      <c r="AS67" s="1">
        <v>63.897500000000001</v>
      </c>
      <c r="AT67" s="1">
        <v>4.46</v>
      </c>
    </row>
    <row r="68" spans="2:46" x14ac:dyDescent="0.2">
      <c r="B68" s="1">
        <v>65.053700000000006</v>
      </c>
      <c r="C68" s="1">
        <v>18.016999999999999</v>
      </c>
      <c r="E68" s="1">
        <v>64.9101</v>
      </c>
      <c r="F68" s="1">
        <v>14.9785</v>
      </c>
      <c r="H68" s="1">
        <v>64.900099999999995</v>
      </c>
      <c r="I68" s="1">
        <v>13.314500000000001</v>
      </c>
      <c r="J68" s="6"/>
      <c r="K68" s="1">
        <v>64.881100000000004</v>
      </c>
      <c r="L68" s="1">
        <v>16.757999999999999</v>
      </c>
      <c r="N68" s="1">
        <v>65.022599999999997</v>
      </c>
      <c r="O68" s="1">
        <v>7.3905000000000003</v>
      </c>
      <c r="Q68" s="1">
        <v>64.901300000000006</v>
      </c>
      <c r="R68" s="1">
        <v>5.71</v>
      </c>
      <c r="S68" s="6"/>
      <c r="T68" s="1">
        <v>64.883300000000006</v>
      </c>
      <c r="U68" s="1">
        <v>5.8605</v>
      </c>
      <c r="W68" s="1">
        <v>64.917199999999994</v>
      </c>
      <c r="X68" s="1">
        <v>5.3170000000000002</v>
      </c>
      <c r="Z68" s="1">
        <v>64.9131</v>
      </c>
      <c r="AA68" s="1">
        <v>7.7050000000000001</v>
      </c>
      <c r="AB68" s="6"/>
      <c r="AC68" s="1">
        <v>64.914400000000001</v>
      </c>
      <c r="AD68" s="1">
        <v>6.4035000000000002</v>
      </c>
      <c r="AF68" s="1">
        <v>64.8977</v>
      </c>
      <c r="AG68" s="1">
        <v>6.8695000000000004</v>
      </c>
      <c r="AI68" s="1">
        <v>64.931700000000006</v>
      </c>
      <c r="AJ68" s="1">
        <v>2.4015</v>
      </c>
      <c r="AK68" s="6"/>
      <c r="AM68" s="1">
        <v>64.884399999999999</v>
      </c>
      <c r="AN68" s="1">
        <v>13.237500000000001</v>
      </c>
      <c r="AP68" s="1">
        <v>64.898200000000003</v>
      </c>
      <c r="AQ68" s="1">
        <v>-0.66400000000000003</v>
      </c>
      <c r="AS68" s="1">
        <v>64.902299999999997</v>
      </c>
      <c r="AT68" s="1">
        <v>4.3680000000000003</v>
      </c>
    </row>
    <row r="69" spans="2:46" x14ac:dyDescent="0.2">
      <c r="B69" s="1">
        <v>66.058300000000003</v>
      </c>
      <c r="C69" s="1">
        <v>17.935500000000001</v>
      </c>
      <c r="E69" s="1">
        <v>65.918300000000002</v>
      </c>
      <c r="F69" s="1">
        <v>14.884499999999999</v>
      </c>
      <c r="H69" s="1">
        <v>65.905600000000007</v>
      </c>
      <c r="I69" s="1">
        <v>13.227499999999999</v>
      </c>
      <c r="J69" s="6"/>
      <c r="K69" s="1">
        <v>65.884</v>
      </c>
      <c r="L69" s="1">
        <v>16.663499999999999</v>
      </c>
      <c r="N69" s="1">
        <v>66.031599999999997</v>
      </c>
      <c r="O69" s="1">
        <v>7.3170000000000002</v>
      </c>
      <c r="Q69" s="1">
        <v>65.904799999999994</v>
      </c>
      <c r="R69" s="1">
        <v>5.64</v>
      </c>
      <c r="S69" s="6"/>
      <c r="T69" s="1">
        <v>65.888400000000004</v>
      </c>
      <c r="U69" s="1">
        <v>5.7954999999999997</v>
      </c>
      <c r="W69" s="1">
        <v>65.924800000000005</v>
      </c>
      <c r="X69" s="1">
        <v>5.2554999999999996</v>
      </c>
      <c r="Z69" s="1">
        <v>65.917599999999993</v>
      </c>
      <c r="AA69" s="1">
        <v>7.6260000000000003</v>
      </c>
      <c r="AB69" s="6"/>
      <c r="AC69" s="1">
        <v>65.919499999999999</v>
      </c>
      <c r="AD69" s="1">
        <v>6.3055000000000003</v>
      </c>
      <c r="AF69" s="1">
        <v>65.902600000000007</v>
      </c>
      <c r="AG69" s="1">
        <v>6.7645</v>
      </c>
      <c r="AI69" s="1">
        <v>65.936199999999999</v>
      </c>
      <c r="AJ69" s="1">
        <v>2.3214999999999999</v>
      </c>
      <c r="AK69" s="6"/>
      <c r="AM69" s="1">
        <v>65.890900000000002</v>
      </c>
      <c r="AN69" s="1">
        <v>13.141999999999999</v>
      </c>
      <c r="AP69" s="1">
        <v>65.904799999999994</v>
      </c>
      <c r="AQ69" s="1">
        <v>-0.73899999999999999</v>
      </c>
      <c r="AS69" s="1">
        <v>65.906499999999994</v>
      </c>
      <c r="AT69" s="1">
        <v>4.2869999999999999</v>
      </c>
    </row>
    <row r="70" spans="2:46" x14ac:dyDescent="0.2">
      <c r="B70" s="1">
        <v>67.064400000000006</v>
      </c>
      <c r="C70" s="1">
        <v>17.8505</v>
      </c>
      <c r="E70" s="1">
        <v>66.925899999999999</v>
      </c>
      <c r="F70" s="1">
        <v>14.797000000000001</v>
      </c>
      <c r="H70" s="1">
        <v>66.911199999999994</v>
      </c>
      <c r="I70" s="1">
        <v>13.1455</v>
      </c>
      <c r="J70" s="6"/>
      <c r="K70" s="1">
        <v>66.890799999999999</v>
      </c>
      <c r="L70" s="1">
        <v>16.57</v>
      </c>
      <c r="N70" s="1">
        <v>67.037999999999997</v>
      </c>
      <c r="O70" s="1">
        <v>7.24</v>
      </c>
      <c r="Q70" s="1">
        <v>66.908100000000005</v>
      </c>
      <c r="R70" s="1">
        <v>5.57</v>
      </c>
      <c r="S70" s="6"/>
      <c r="T70" s="1">
        <v>66.893000000000001</v>
      </c>
      <c r="U70" s="1">
        <v>5.7350000000000003</v>
      </c>
      <c r="W70" s="1">
        <v>66.932000000000002</v>
      </c>
      <c r="X70" s="1">
        <v>5.1840000000000002</v>
      </c>
      <c r="Z70" s="1">
        <v>66.922799999999995</v>
      </c>
      <c r="AA70" s="1">
        <v>7.5419999999999998</v>
      </c>
      <c r="AB70" s="6"/>
      <c r="AC70" s="1">
        <v>66.9285</v>
      </c>
      <c r="AD70" s="1">
        <v>6.2130000000000001</v>
      </c>
      <c r="AF70" s="1">
        <v>66.908900000000003</v>
      </c>
      <c r="AG70" s="1">
        <v>6.6535000000000002</v>
      </c>
      <c r="AI70" s="1">
        <v>66.941400000000002</v>
      </c>
      <c r="AJ70" s="1">
        <v>2.2435</v>
      </c>
      <c r="AK70" s="6"/>
      <c r="AM70" s="1">
        <v>66.897199999999998</v>
      </c>
      <c r="AN70" s="1">
        <v>13.045</v>
      </c>
      <c r="AP70" s="1">
        <v>66.910300000000007</v>
      </c>
      <c r="AQ70" s="1">
        <v>-0.8105</v>
      </c>
      <c r="AS70" s="1">
        <v>66.910899999999998</v>
      </c>
      <c r="AT70" s="1">
        <v>4.2015000000000002</v>
      </c>
    </row>
    <row r="71" spans="2:46" x14ac:dyDescent="0.2">
      <c r="B71" s="1">
        <v>68.070899999999995</v>
      </c>
      <c r="C71" s="1">
        <v>17.776</v>
      </c>
      <c r="E71" s="1">
        <v>67.933099999999996</v>
      </c>
      <c r="F71" s="1">
        <v>14.704499999999999</v>
      </c>
      <c r="H71" s="1">
        <v>67.915000000000006</v>
      </c>
      <c r="I71" s="1">
        <v>13.068</v>
      </c>
      <c r="J71" s="6"/>
      <c r="K71" s="1">
        <v>67.896199999999993</v>
      </c>
      <c r="L71" s="1">
        <v>16.4665</v>
      </c>
      <c r="N71" s="1">
        <v>68.043999999999997</v>
      </c>
      <c r="O71" s="1">
        <v>7.1684999999999999</v>
      </c>
      <c r="Q71" s="1">
        <v>67.9148</v>
      </c>
      <c r="R71" s="1">
        <v>5.508</v>
      </c>
      <c r="S71" s="6"/>
      <c r="T71" s="1">
        <v>67.899199999999993</v>
      </c>
      <c r="U71" s="1">
        <v>5.6665000000000001</v>
      </c>
      <c r="W71" s="1">
        <v>67.938900000000004</v>
      </c>
      <c r="X71" s="1">
        <v>5.1159999999999997</v>
      </c>
      <c r="Z71" s="1">
        <v>67.929500000000004</v>
      </c>
      <c r="AA71" s="1">
        <v>7.4545000000000003</v>
      </c>
      <c r="AB71" s="6"/>
      <c r="AC71" s="1">
        <v>67.935299999999998</v>
      </c>
      <c r="AD71" s="1">
        <v>6.1109999999999998</v>
      </c>
      <c r="AF71" s="1">
        <v>67.915599999999998</v>
      </c>
      <c r="AG71" s="1">
        <v>6.5514999999999999</v>
      </c>
      <c r="AI71" s="1">
        <v>67.948099999999997</v>
      </c>
      <c r="AJ71" s="1">
        <v>2.1669999999999998</v>
      </c>
      <c r="AK71" s="6"/>
      <c r="AM71" s="1">
        <v>67.903800000000004</v>
      </c>
      <c r="AN71" s="1">
        <v>12.952999999999999</v>
      </c>
      <c r="AP71" s="1">
        <v>67.914199999999994</v>
      </c>
      <c r="AQ71" s="1">
        <v>-0.88</v>
      </c>
      <c r="AS71" s="1">
        <v>67.915499999999994</v>
      </c>
      <c r="AT71" s="1">
        <v>4.1109999999999998</v>
      </c>
    </row>
    <row r="72" spans="2:46" x14ac:dyDescent="0.2">
      <c r="B72" s="1">
        <v>69.074799999999996</v>
      </c>
      <c r="C72" s="1">
        <v>17.690999999999999</v>
      </c>
      <c r="E72" s="1">
        <v>68.938100000000006</v>
      </c>
      <c r="F72" s="1">
        <v>14.616</v>
      </c>
      <c r="H72" s="1">
        <v>68.919799999999995</v>
      </c>
      <c r="I72" s="1">
        <v>12.990500000000001</v>
      </c>
      <c r="J72" s="6"/>
      <c r="K72" s="1">
        <v>68.900999999999996</v>
      </c>
      <c r="L72" s="1">
        <v>16.363</v>
      </c>
      <c r="N72" s="1">
        <v>69.050299999999993</v>
      </c>
      <c r="O72" s="1">
        <v>7.0945</v>
      </c>
      <c r="Q72" s="1">
        <v>68.9208</v>
      </c>
      <c r="R72" s="1">
        <v>5.4405000000000001</v>
      </c>
      <c r="S72" s="6"/>
      <c r="T72" s="1">
        <v>68.904899999999998</v>
      </c>
      <c r="U72" s="1">
        <v>5.6074999999999999</v>
      </c>
      <c r="W72" s="1">
        <v>68.945300000000003</v>
      </c>
      <c r="X72" s="1">
        <v>5.0519999999999996</v>
      </c>
      <c r="Z72" s="1">
        <v>68.934299999999993</v>
      </c>
      <c r="AA72" s="1">
        <v>7.375</v>
      </c>
      <c r="AB72" s="6"/>
      <c r="AC72" s="1">
        <v>68.941900000000004</v>
      </c>
      <c r="AD72" s="1">
        <v>6.0049999999999999</v>
      </c>
      <c r="AF72" s="1">
        <v>68.923000000000002</v>
      </c>
      <c r="AG72" s="1">
        <v>6.45</v>
      </c>
      <c r="AI72" s="1">
        <v>68.955500000000001</v>
      </c>
      <c r="AJ72" s="1">
        <v>2.1019999999999999</v>
      </c>
      <c r="AK72" s="6"/>
      <c r="AM72" s="1">
        <v>68.9131</v>
      </c>
      <c r="AN72" s="1">
        <v>12.847</v>
      </c>
      <c r="AP72" s="1">
        <v>68.921400000000006</v>
      </c>
      <c r="AQ72" s="1">
        <v>-0.95499999999999996</v>
      </c>
      <c r="AS72" s="1">
        <v>68.923699999999997</v>
      </c>
      <c r="AT72" s="1">
        <v>4.0365000000000002</v>
      </c>
    </row>
    <row r="73" spans="2:46" x14ac:dyDescent="0.2">
      <c r="B73" s="1">
        <v>70.081400000000002</v>
      </c>
      <c r="C73" s="1">
        <v>17.609000000000002</v>
      </c>
      <c r="E73" s="1">
        <v>69.942599999999999</v>
      </c>
      <c r="F73" s="1">
        <v>14.5265</v>
      </c>
      <c r="H73" s="1">
        <v>69.925700000000006</v>
      </c>
      <c r="I73" s="1">
        <v>12.904999999999999</v>
      </c>
      <c r="J73" s="6"/>
      <c r="K73" s="1">
        <v>69.908600000000007</v>
      </c>
      <c r="L73" s="1">
        <v>16.260999999999999</v>
      </c>
      <c r="N73" s="1">
        <v>70.054400000000001</v>
      </c>
      <c r="O73" s="1">
        <v>7.0244999999999997</v>
      </c>
      <c r="Q73" s="1">
        <v>69.9268</v>
      </c>
      <c r="R73" s="1">
        <v>5.3659999999999997</v>
      </c>
      <c r="S73" s="6"/>
      <c r="T73" s="1">
        <v>69.909899999999993</v>
      </c>
      <c r="U73" s="1">
        <v>5.5415000000000001</v>
      </c>
      <c r="W73" s="1">
        <v>69.952500000000001</v>
      </c>
      <c r="X73" s="1">
        <v>4.976</v>
      </c>
      <c r="Z73" s="1">
        <v>69.938400000000001</v>
      </c>
      <c r="AA73" s="1">
        <v>7.2904999999999998</v>
      </c>
      <c r="AB73" s="6"/>
      <c r="AC73" s="1">
        <v>69.949600000000004</v>
      </c>
      <c r="AD73" s="1">
        <v>5.8964999999999996</v>
      </c>
      <c r="AF73" s="1">
        <v>69.927400000000006</v>
      </c>
      <c r="AG73" s="1">
        <v>6.3224999999999998</v>
      </c>
      <c r="AI73" s="1">
        <v>69.959199999999996</v>
      </c>
      <c r="AJ73" s="1">
        <v>2.0274999999999999</v>
      </c>
      <c r="AK73" s="6"/>
      <c r="AM73" s="1">
        <v>69.921800000000005</v>
      </c>
      <c r="AN73" s="1">
        <v>12.753</v>
      </c>
      <c r="AP73" s="1">
        <v>69.926100000000005</v>
      </c>
      <c r="AQ73" s="1">
        <v>-1.0325</v>
      </c>
      <c r="AS73" s="1">
        <v>69.929699999999997</v>
      </c>
      <c r="AT73" s="1">
        <v>3.9510000000000001</v>
      </c>
    </row>
    <row r="74" spans="2:46" x14ac:dyDescent="0.2">
      <c r="B74" s="1">
        <v>71.089100000000002</v>
      </c>
      <c r="C74" s="1">
        <v>17.53</v>
      </c>
      <c r="E74" s="1">
        <v>70.949600000000004</v>
      </c>
      <c r="F74" s="1">
        <v>14.436</v>
      </c>
      <c r="H74" s="1">
        <v>70.933700000000002</v>
      </c>
      <c r="I74" s="1">
        <v>12.823</v>
      </c>
      <c r="J74" s="6"/>
      <c r="K74" s="1">
        <v>70.913300000000007</v>
      </c>
      <c r="L74" s="1">
        <v>16.172000000000001</v>
      </c>
      <c r="N74" s="1">
        <v>71.058800000000005</v>
      </c>
      <c r="O74" s="1">
        <v>6.9509999999999996</v>
      </c>
      <c r="Q74" s="1">
        <v>70.929299999999998</v>
      </c>
      <c r="R74" s="1">
        <v>5.2904999999999998</v>
      </c>
      <c r="S74" s="6"/>
      <c r="T74" s="1">
        <v>70.9148</v>
      </c>
      <c r="U74" s="1">
        <v>5.4775</v>
      </c>
      <c r="W74" s="1">
        <v>70.957700000000003</v>
      </c>
      <c r="X74" s="1">
        <v>4.9160000000000004</v>
      </c>
      <c r="Z74" s="1">
        <v>70.941500000000005</v>
      </c>
      <c r="AA74" s="1">
        <v>7.2110000000000003</v>
      </c>
      <c r="AB74" s="6"/>
      <c r="AC74" s="1">
        <v>70.953699999999998</v>
      </c>
      <c r="AD74" s="1">
        <v>5.7939999999999996</v>
      </c>
      <c r="AF74" s="1">
        <v>70.930499999999995</v>
      </c>
      <c r="AG74" s="1">
        <v>6.2234999999999996</v>
      </c>
      <c r="AI74" s="1">
        <v>70.965100000000007</v>
      </c>
      <c r="AJ74" s="1">
        <v>1.9510000000000001</v>
      </c>
      <c r="AK74" s="6"/>
      <c r="AM74" s="1">
        <v>70.930199999999999</v>
      </c>
      <c r="AN74" s="1">
        <v>12.663</v>
      </c>
      <c r="AP74" s="1">
        <v>70.932900000000004</v>
      </c>
      <c r="AQ74" s="1">
        <v>-1.1105</v>
      </c>
      <c r="AS74" s="1">
        <v>70.935699999999997</v>
      </c>
      <c r="AT74" s="1">
        <v>3.8610000000000002</v>
      </c>
    </row>
    <row r="75" spans="2:46" x14ac:dyDescent="0.2">
      <c r="B75" s="1">
        <v>72.095799999999997</v>
      </c>
      <c r="C75" s="1">
        <v>17.452500000000001</v>
      </c>
      <c r="E75" s="1">
        <v>71.953599999999994</v>
      </c>
      <c r="F75" s="1">
        <v>14.3475</v>
      </c>
      <c r="H75" s="1">
        <v>71.940200000000004</v>
      </c>
      <c r="I75" s="1">
        <v>12.7385</v>
      </c>
      <c r="J75" s="6"/>
      <c r="K75" s="1">
        <v>71.917500000000004</v>
      </c>
      <c r="L75" s="1">
        <v>16.076499999999999</v>
      </c>
      <c r="N75" s="1">
        <v>72.063299999999998</v>
      </c>
      <c r="O75" s="1">
        <v>6.8695000000000004</v>
      </c>
      <c r="Q75" s="1">
        <v>71.935100000000006</v>
      </c>
      <c r="R75" s="1">
        <v>5.2314999999999996</v>
      </c>
      <c r="S75" s="6"/>
      <c r="T75" s="1">
        <v>71.919399999999996</v>
      </c>
      <c r="U75" s="1">
        <v>5.423</v>
      </c>
      <c r="W75" s="1">
        <v>71.966700000000003</v>
      </c>
      <c r="X75" s="1">
        <v>4.8470000000000004</v>
      </c>
      <c r="Z75" s="1">
        <v>71.947999999999993</v>
      </c>
      <c r="AA75" s="1">
        <v>7.13</v>
      </c>
      <c r="AB75" s="6"/>
      <c r="AC75" s="1">
        <v>71.959500000000006</v>
      </c>
      <c r="AD75" s="1">
        <v>5.6825000000000001</v>
      </c>
      <c r="AF75" s="1">
        <v>71.937100000000001</v>
      </c>
      <c r="AG75" s="1">
        <v>6.1230000000000002</v>
      </c>
      <c r="AI75" s="1">
        <v>71.970699999999994</v>
      </c>
      <c r="AJ75" s="1">
        <v>1.8720000000000001</v>
      </c>
      <c r="AK75" s="6"/>
      <c r="AM75" s="1">
        <v>71.939099999999996</v>
      </c>
      <c r="AN75" s="1">
        <v>12.5715</v>
      </c>
      <c r="AP75" s="1">
        <v>71.939099999999996</v>
      </c>
      <c r="AQ75" s="1">
        <v>-1.1884999999999999</v>
      </c>
      <c r="AS75" s="1">
        <v>71.945599999999999</v>
      </c>
      <c r="AT75" s="1">
        <v>3.7730000000000001</v>
      </c>
    </row>
    <row r="76" spans="2:46" x14ac:dyDescent="0.2">
      <c r="B76" s="1">
        <v>73.101299999999995</v>
      </c>
      <c r="C76" s="1">
        <v>17.373999999999999</v>
      </c>
      <c r="E76" s="1">
        <v>72.957499999999996</v>
      </c>
      <c r="F76" s="1">
        <v>14.256500000000001</v>
      </c>
      <c r="H76" s="1">
        <v>72.947599999999994</v>
      </c>
      <c r="I76" s="1">
        <v>12.661</v>
      </c>
      <c r="J76" s="6"/>
      <c r="K76" s="1">
        <v>72.923199999999994</v>
      </c>
      <c r="L76" s="1">
        <v>15.9755</v>
      </c>
      <c r="N76" s="1">
        <v>73.069299999999998</v>
      </c>
      <c r="O76" s="1">
        <v>6.7960000000000003</v>
      </c>
      <c r="Q76" s="1">
        <v>72.940399999999997</v>
      </c>
      <c r="R76" s="1">
        <v>5.1639999999999997</v>
      </c>
      <c r="S76" s="6"/>
      <c r="T76" s="1">
        <v>72.9238</v>
      </c>
      <c r="U76" s="1">
        <v>5.3555000000000001</v>
      </c>
      <c r="W76" s="1">
        <v>72.974100000000007</v>
      </c>
      <c r="X76" s="1">
        <v>4.78</v>
      </c>
      <c r="Z76" s="1">
        <v>72.952100000000002</v>
      </c>
      <c r="AA76" s="1">
        <v>7.056</v>
      </c>
      <c r="AB76" s="6"/>
      <c r="AC76" s="1">
        <v>72.964399999999998</v>
      </c>
      <c r="AD76" s="1">
        <v>5.5854999999999997</v>
      </c>
      <c r="AF76" s="1">
        <v>72.9422</v>
      </c>
      <c r="AG76" s="1">
        <v>6.0214999999999996</v>
      </c>
      <c r="AI76" s="1">
        <v>72.975200000000001</v>
      </c>
      <c r="AJ76" s="1">
        <v>1.8009999999999999</v>
      </c>
      <c r="AK76" s="6"/>
      <c r="AM76" s="1">
        <v>72.946100000000001</v>
      </c>
      <c r="AN76" s="1">
        <v>12.4725</v>
      </c>
      <c r="AP76" s="1">
        <v>72.944800000000001</v>
      </c>
      <c r="AQ76" s="1">
        <v>-1.266</v>
      </c>
      <c r="AS76" s="1">
        <v>72.952799999999996</v>
      </c>
      <c r="AT76" s="1">
        <v>3.6859999999999999</v>
      </c>
    </row>
    <row r="77" spans="2:46" x14ac:dyDescent="0.2">
      <c r="B77" s="1">
        <v>74.106200000000001</v>
      </c>
      <c r="C77" s="1">
        <v>17.3005</v>
      </c>
      <c r="E77" s="1">
        <v>73.963200000000001</v>
      </c>
      <c r="F77" s="1">
        <v>14.167999999999999</v>
      </c>
      <c r="H77" s="1">
        <v>73.957400000000007</v>
      </c>
      <c r="I77" s="1">
        <v>12.573499999999999</v>
      </c>
      <c r="J77" s="6"/>
      <c r="K77" s="1">
        <v>73.930499999999995</v>
      </c>
      <c r="L77" s="1">
        <v>15.875</v>
      </c>
      <c r="N77" s="1">
        <v>74.074799999999996</v>
      </c>
      <c r="O77" s="1">
        <v>6.726</v>
      </c>
      <c r="Q77" s="1">
        <v>73.949399999999997</v>
      </c>
      <c r="R77" s="1">
        <v>5.0990000000000002</v>
      </c>
      <c r="S77" s="6"/>
      <c r="T77" s="1">
        <v>73.927599999999998</v>
      </c>
      <c r="U77" s="1">
        <v>5.2869999999999999</v>
      </c>
      <c r="W77" s="1">
        <v>73.98</v>
      </c>
      <c r="X77" s="1">
        <v>4.718</v>
      </c>
      <c r="Z77" s="1">
        <v>73.957800000000006</v>
      </c>
      <c r="AA77" s="1">
        <v>6.9664999999999999</v>
      </c>
      <c r="AB77" s="6"/>
      <c r="AC77" s="1">
        <v>73.968699999999998</v>
      </c>
      <c r="AD77" s="1">
        <v>5.4855</v>
      </c>
      <c r="AF77" s="1">
        <v>73.949100000000001</v>
      </c>
      <c r="AG77" s="1">
        <v>5.9180000000000001</v>
      </c>
      <c r="AI77" s="1">
        <v>73.981300000000005</v>
      </c>
      <c r="AJ77" s="1">
        <v>1.726</v>
      </c>
      <c r="AK77" s="6"/>
      <c r="AM77" s="1">
        <v>73.955500000000001</v>
      </c>
      <c r="AN77" s="1">
        <v>12.3725</v>
      </c>
      <c r="AP77" s="1">
        <v>73.951400000000007</v>
      </c>
      <c r="AQ77" s="1">
        <v>-1.3434999999999999</v>
      </c>
      <c r="AS77" s="1">
        <v>73.957099999999997</v>
      </c>
      <c r="AT77" s="1">
        <v>3.6059999999999999</v>
      </c>
    </row>
    <row r="78" spans="2:46" x14ac:dyDescent="0.2">
      <c r="B78" s="1">
        <v>75.112499999999997</v>
      </c>
      <c r="C78" s="1">
        <v>17.2225</v>
      </c>
      <c r="E78" s="1">
        <v>74.9709</v>
      </c>
      <c r="F78" s="1">
        <v>14.0715</v>
      </c>
      <c r="H78" s="1">
        <v>74.966800000000006</v>
      </c>
      <c r="I78" s="1">
        <v>12.487500000000001</v>
      </c>
      <c r="J78" s="6"/>
      <c r="K78" s="1">
        <v>74.933899999999994</v>
      </c>
      <c r="L78" s="1">
        <v>15.79</v>
      </c>
      <c r="N78" s="1">
        <v>75.080299999999994</v>
      </c>
      <c r="O78" s="1">
        <v>6.6635</v>
      </c>
      <c r="Q78" s="1">
        <v>74.955100000000002</v>
      </c>
      <c r="R78" s="1">
        <v>5.0225</v>
      </c>
      <c r="S78" s="6"/>
      <c r="T78" s="1">
        <v>74.933000000000007</v>
      </c>
      <c r="U78" s="1">
        <v>5.22</v>
      </c>
      <c r="W78" s="1">
        <v>74.986699999999999</v>
      </c>
      <c r="X78" s="1">
        <v>4.6509999999999998</v>
      </c>
      <c r="Z78" s="1">
        <v>74.963099999999997</v>
      </c>
      <c r="AA78" s="1">
        <v>6.8849999999999998</v>
      </c>
      <c r="AB78" s="6"/>
      <c r="AC78" s="1">
        <v>74.974199999999996</v>
      </c>
      <c r="AD78" s="1">
        <v>5.3879999999999999</v>
      </c>
      <c r="AF78" s="1">
        <v>74.952399999999997</v>
      </c>
      <c r="AG78" s="1">
        <v>5.8174999999999999</v>
      </c>
      <c r="AI78" s="1">
        <v>74.989999999999995</v>
      </c>
      <c r="AJ78" s="1">
        <v>1.6505000000000001</v>
      </c>
      <c r="AK78" s="6"/>
      <c r="AM78" s="1">
        <v>74.958100000000002</v>
      </c>
      <c r="AN78" s="1">
        <v>12.276999999999999</v>
      </c>
      <c r="AP78" s="1">
        <v>74.955500000000001</v>
      </c>
      <c r="AQ78" s="1">
        <v>-1.4165000000000001</v>
      </c>
      <c r="AS78" s="1">
        <v>74.962299999999999</v>
      </c>
      <c r="AT78" s="1">
        <v>3.508</v>
      </c>
    </row>
    <row r="79" spans="2:46" x14ac:dyDescent="0.2">
      <c r="B79" s="1">
        <v>76.119600000000005</v>
      </c>
      <c r="C79" s="1">
        <v>17.145</v>
      </c>
      <c r="E79" s="1">
        <v>75.975499999999997</v>
      </c>
      <c r="F79" s="1">
        <v>13.983000000000001</v>
      </c>
      <c r="H79" s="1">
        <v>75.973600000000005</v>
      </c>
      <c r="I79" s="1">
        <v>12.411</v>
      </c>
      <c r="J79" s="6"/>
      <c r="K79" s="1">
        <v>75.938199999999995</v>
      </c>
      <c r="L79" s="1">
        <v>15.702999999999999</v>
      </c>
      <c r="N79" s="1">
        <v>76.087199999999996</v>
      </c>
      <c r="O79" s="1">
        <v>6.5919999999999996</v>
      </c>
      <c r="Q79" s="1">
        <v>75.9619</v>
      </c>
      <c r="R79" s="1">
        <v>4.9535</v>
      </c>
      <c r="S79" s="6"/>
      <c r="T79" s="1">
        <v>75.938699999999997</v>
      </c>
      <c r="U79" s="1">
        <v>5.1539999999999999</v>
      </c>
      <c r="W79" s="1">
        <v>75.993200000000002</v>
      </c>
      <c r="X79" s="1">
        <v>4.5860000000000003</v>
      </c>
      <c r="Z79" s="1">
        <v>75.968800000000002</v>
      </c>
      <c r="AA79" s="1">
        <v>6.8019999999999996</v>
      </c>
      <c r="AB79" s="6"/>
      <c r="AC79" s="1">
        <v>75.979900000000001</v>
      </c>
      <c r="AD79" s="1">
        <v>5.2910000000000004</v>
      </c>
      <c r="AF79" s="1">
        <v>75.958200000000005</v>
      </c>
      <c r="AG79" s="1">
        <v>5.7089999999999996</v>
      </c>
      <c r="AI79" s="1">
        <v>76</v>
      </c>
      <c r="AJ79" s="1">
        <v>1.5725</v>
      </c>
      <c r="AK79" s="6"/>
      <c r="AM79" s="1">
        <v>75.964200000000005</v>
      </c>
      <c r="AN79" s="1">
        <v>12.18</v>
      </c>
      <c r="AP79" s="1">
        <v>75.958799999999997</v>
      </c>
      <c r="AQ79" s="1">
        <v>-1.498</v>
      </c>
      <c r="AS79" s="1">
        <v>75.966499999999996</v>
      </c>
      <c r="AT79" s="1">
        <v>3.4220000000000002</v>
      </c>
    </row>
    <row r="80" spans="2:46" x14ac:dyDescent="0.2">
      <c r="B80" s="1">
        <v>77.125500000000002</v>
      </c>
      <c r="C80" s="1">
        <v>17.0685</v>
      </c>
      <c r="E80" s="1">
        <v>77.004300000000001</v>
      </c>
      <c r="F80" s="1">
        <v>13.887499999999999</v>
      </c>
      <c r="H80" s="1">
        <v>76.979900000000001</v>
      </c>
      <c r="I80" s="1">
        <v>12.3215</v>
      </c>
      <c r="J80" s="6"/>
      <c r="K80" s="1">
        <v>76.944299999999998</v>
      </c>
      <c r="L80" s="1">
        <v>15.6105</v>
      </c>
      <c r="N80" s="1">
        <v>77.092500000000001</v>
      </c>
      <c r="O80" s="1">
        <v>6.5225</v>
      </c>
      <c r="Q80" s="1">
        <v>76.968999999999994</v>
      </c>
      <c r="R80" s="1">
        <v>4.8825000000000003</v>
      </c>
      <c r="S80" s="6"/>
      <c r="T80" s="1">
        <v>76.945899999999995</v>
      </c>
      <c r="U80" s="1">
        <v>5.0854999999999997</v>
      </c>
      <c r="W80" s="1">
        <v>77</v>
      </c>
      <c r="X80" s="1">
        <v>4.5225</v>
      </c>
      <c r="Z80" s="1">
        <v>76.977800000000002</v>
      </c>
      <c r="AA80" s="1">
        <v>6.7195</v>
      </c>
      <c r="AB80" s="6"/>
      <c r="AC80" s="1">
        <v>76.983699999999999</v>
      </c>
      <c r="AD80" s="1">
        <v>5.1894999999999998</v>
      </c>
      <c r="AF80" s="1">
        <v>76.962900000000005</v>
      </c>
      <c r="AG80" s="1">
        <v>5.5979999999999999</v>
      </c>
      <c r="AI80" s="1">
        <v>77.006299999999996</v>
      </c>
      <c r="AJ80" s="1">
        <v>1.4935</v>
      </c>
      <c r="AK80" s="6"/>
      <c r="AM80" s="1">
        <v>76.971199999999996</v>
      </c>
      <c r="AN80" s="1">
        <v>12.0845</v>
      </c>
      <c r="AP80" s="1">
        <v>76.964399999999998</v>
      </c>
      <c r="AQ80" s="1">
        <v>-1.5665</v>
      </c>
      <c r="AS80" s="1">
        <v>76.973500000000001</v>
      </c>
      <c r="AT80" s="1">
        <v>3.3435000000000001</v>
      </c>
    </row>
    <row r="81" spans="2:46" x14ac:dyDescent="0.2">
      <c r="B81" s="1">
        <v>78.13</v>
      </c>
      <c r="C81" s="1">
        <v>16.997</v>
      </c>
      <c r="E81" s="1">
        <v>78.011099999999999</v>
      </c>
      <c r="F81" s="1">
        <v>13.797499999999999</v>
      </c>
      <c r="H81" s="1">
        <v>77.984700000000004</v>
      </c>
      <c r="I81" s="1">
        <v>12.231999999999999</v>
      </c>
      <c r="J81" s="6"/>
      <c r="K81" s="1">
        <v>77.951499999999996</v>
      </c>
      <c r="L81" s="1">
        <v>15.522500000000001</v>
      </c>
      <c r="N81" s="1">
        <v>78.098600000000005</v>
      </c>
      <c r="O81" s="1">
        <v>6.45</v>
      </c>
      <c r="Q81" s="1">
        <v>77.9773</v>
      </c>
      <c r="R81" s="1">
        <v>4.8170000000000002</v>
      </c>
      <c r="S81" s="6"/>
      <c r="T81" s="1">
        <v>77.954499999999996</v>
      </c>
      <c r="U81" s="1">
        <v>5.0125000000000002</v>
      </c>
      <c r="W81" s="1">
        <v>78.007000000000005</v>
      </c>
      <c r="X81" s="1">
        <v>4.4705000000000004</v>
      </c>
      <c r="Z81" s="1">
        <v>77.987399999999994</v>
      </c>
      <c r="AA81" s="1">
        <v>6.6364999999999998</v>
      </c>
      <c r="AB81" s="6"/>
      <c r="AC81" s="1">
        <v>77.989699999999999</v>
      </c>
      <c r="AD81" s="1">
        <v>5.0895000000000001</v>
      </c>
      <c r="AF81" s="1">
        <v>77.966899999999995</v>
      </c>
      <c r="AG81" s="1">
        <v>5.49</v>
      </c>
      <c r="AI81" s="1">
        <v>78.016199999999998</v>
      </c>
      <c r="AJ81" s="1">
        <v>1.4285000000000001</v>
      </c>
      <c r="AK81" s="6"/>
      <c r="AM81" s="1">
        <v>77.975800000000007</v>
      </c>
      <c r="AN81" s="1">
        <v>11.9945</v>
      </c>
      <c r="AP81" s="1">
        <v>77.967399999999998</v>
      </c>
      <c r="AQ81" s="1">
        <v>-1.6459999999999999</v>
      </c>
      <c r="AS81" s="1">
        <v>77.977900000000005</v>
      </c>
      <c r="AT81" s="1">
        <v>3.2679999999999998</v>
      </c>
    </row>
    <row r="82" spans="2:46" x14ac:dyDescent="0.2">
      <c r="B82" s="1">
        <v>79.134500000000003</v>
      </c>
      <c r="C82" s="1">
        <v>16.913</v>
      </c>
      <c r="E82" s="1">
        <v>79.017099999999999</v>
      </c>
      <c r="F82" s="1">
        <v>13.708500000000001</v>
      </c>
      <c r="H82" s="1">
        <v>78.990200000000002</v>
      </c>
      <c r="I82" s="1">
        <v>12.1465</v>
      </c>
      <c r="J82" s="6"/>
      <c r="K82" s="1">
        <v>78.956500000000005</v>
      </c>
      <c r="L82" s="1">
        <v>15.423500000000001</v>
      </c>
      <c r="N82" s="1">
        <v>79.105099999999993</v>
      </c>
      <c r="O82" s="1">
        <v>6.367</v>
      </c>
      <c r="Q82" s="1">
        <v>78.985399999999998</v>
      </c>
      <c r="R82" s="1">
        <v>4.7454999999999998</v>
      </c>
      <c r="S82" s="6"/>
      <c r="T82" s="1">
        <v>78.961399999999998</v>
      </c>
      <c r="U82" s="1">
        <v>4.9535</v>
      </c>
      <c r="W82" s="1">
        <v>79.0137</v>
      </c>
      <c r="X82" s="1">
        <v>4.3914999999999997</v>
      </c>
      <c r="Z82" s="1">
        <v>78.995000000000005</v>
      </c>
      <c r="AA82" s="1">
        <v>6.5570000000000004</v>
      </c>
      <c r="AB82" s="6"/>
      <c r="AC82" s="1">
        <v>78.996200000000002</v>
      </c>
      <c r="AD82" s="1">
        <v>4.9859999999999998</v>
      </c>
      <c r="AF82" s="1">
        <v>78.972300000000004</v>
      </c>
      <c r="AG82" s="1">
        <v>5.3869999999999996</v>
      </c>
      <c r="AI82" s="1">
        <v>79.020200000000003</v>
      </c>
      <c r="AJ82" s="1">
        <v>1.355</v>
      </c>
      <c r="AK82" s="6"/>
      <c r="AM82" s="1">
        <v>78.981800000000007</v>
      </c>
      <c r="AN82" s="1">
        <v>11.9025</v>
      </c>
      <c r="AP82" s="1">
        <v>78.972300000000004</v>
      </c>
      <c r="AQ82" s="1">
        <v>-1.7250000000000001</v>
      </c>
      <c r="AS82" s="1">
        <v>78.983999999999995</v>
      </c>
      <c r="AT82" s="1">
        <v>3.1930000000000001</v>
      </c>
    </row>
    <row r="83" spans="2:46" x14ac:dyDescent="0.2">
      <c r="B83" s="1">
        <v>80.1404</v>
      </c>
      <c r="C83" s="1">
        <v>16.839500000000001</v>
      </c>
      <c r="E83" s="1">
        <v>80.022900000000007</v>
      </c>
      <c r="F83" s="1">
        <v>13.615</v>
      </c>
      <c r="H83" s="1">
        <v>79.997900000000001</v>
      </c>
      <c r="I83" s="1">
        <v>12.0685</v>
      </c>
      <c r="J83" s="6"/>
      <c r="K83" s="1">
        <v>79.965699999999998</v>
      </c>
      <c r="L83" s="1">
        <v>15.327</v>
      </c>
      <c r="N83" s="1">
        <v>80.108800000000002</v>
      </c>
      <c r="O83" s="1">
        <v>6.2919999999999998</v>
      </c>
      <c r="Q83" s="1">
        <v>79.994699999999995</v>
      </c>
      <c r="R83" s="1">
        <v>4.6795</v>
      </c>
      <c r="S83" s="6"/>
      <c r="T83" s="1">
        <v>79.968500000000006</v>
      </c>
      <c r="U83" s="1">
        <v>4.8804999999999996</v>
      </c>
      <c r="W83" s="1">
        <v>80.018900000000002</v>
      </c>
      <c r="X83" s="1">
        <v>4.3360000000000003</v>
      </c>
      <c r="Z83" s="1">
        <v>79.999099999999999</v>
      </c>
      <c r="AA83" s="1">
        <v>6.4695</v>
      </c>
      <c r="AB83" s="6"/>
      <c r="AC83" s="1">
        <v>80.003500000000003</v>
      </c>
      <c r="AD83" s="1">
        <v>4.8875000000000002</v>
      </c>
      <c r="AF83" s="1">
        <v>79.977900000000005</v>
      </c>
      <c r="AG83" s="1">
        <v>5.2815000000000003</v>
      </c>
      <c r="AI83" s="1">
        <v>80.024600000000007</v>
      </c>
      <c r="AJ83" s="1">
        <v>1.2869999999999999</v>
      </c>
      <c r="AK83" s="6"/>
      <c r="AM83" s="1">
        <v>79.988699999999994</v>
      </c>
      <c r="AN83" s="1">
        <v>11.8</v>
      </c>
      <c r="AP83" s="1">
        <v>79.978099999999998</v>
      </c>
      <c r="AQ83" s="1">
        <v>-1.8035000000000001</v>
      </c>
      <c r="AS83" s="1">
        <v>79.987700000000004</v>
      </c>
      <c r="AT83" s="1">
        <v>3.1120000000000001</v>
      </c>
    </row>
    <row r="84" spans="2:46" x14ac:dyDescent="0.2">
      <c r="B84" s="1">
        <v>81.146799999999999</v>
      </c>
      <c r="C84" s="1">
        <v>16.763999999999999</v>
      </c>
      <c r="E84" s="1">
        <v>81.030699999999996</v>
      </c>
      <c r="F84" s="1">
        <v>13.519500000000001</v>
      </c>
      <c r="H84" s="1">
        <v>81.006799999999998</v>
      </c>
      <c r="I84" s="1">
        <v>11.977</v>
      </c>
      <c r="J84" s="6"/>
      <c r="K84" s="1">
        <v>80.972200000000001</v>
      </c>
      <c r="L84" s="1">
        <v>15.237</v>
      </c>
      <c r="N84" s="1">
        <v>81.114699999999999</v>
      </c>
      <c r="O84" s="1">
        <v>6.226</v>
      </c>
      <c r="Q84" s="1">
        <v>80.998500000000007</v>
      </c>
      <c r="R84" s="1">
        <v>4.6105</v>
      </c>
      <c r="S84" s="6"/>
      <c r="T84" s="1">
        <v>80.974100000000007</v>
      </c>
      <c r="U84" s="1">
        <v>4.8205</v>
      </c>
      <c r="W84" s="1">
        <v>81.028499999999994</v>
      </c>
      <c r="X84" s="1">
        <v>4.2744999999999997</v>
      </c>
      <c r="Z84" s="1">
        <v>81.004499999999993</v>
      </c>
      <c r="AA84" s="1">
        <v>6.4</v>
      </c>
      <c r="AB84" s="6"/>
      <c r="AC84" s="1">
        <v>81.009299999999996</v>
      </c>
      <c r="AD84" s="1">
        <v>4.7854999999999999</v>
      </c>
      <c r="AF84" s="1">
        <v>80.982699999999994</v>
      </c>
      <c r="AG84" s="1">
        <v>5.1749999999999998</v>
      </c>
      <c r="AI84" s="1">
        <v>81.032399999999996</v>
      </c>
      <c r="AJ84" s="1">
        <v>1.2164999999999999</v>
      </c>
      <c r="AK84" s="6"/>
      <c r="AM84" s="1">
        <v>80.994799999999998</v>
      </c>
      <c r="AN84" s="1">
        <v>11.706</v>
      </c>
      <c r="AP84" s="1">
        <v>80.982100000000003</v>
      </c>
      <c r="AQ84" s="1">
        <v>-1.88</v>
      </c>
      <c r="AS84" s="1">
        <v>80.993099999999998</v>
      </c>
      <c r="AT84" s="1">
        <v>3.0225</v>
      </c>
    </row>
    <row r="85" spans="2:46" x14ac:dyDescent="0.2">
      <c r="B85" s="1">
        <v>82.152799999999999</v>
      </c>
      <c r="C85" s="1">
        <v>16.689</v>
      </c>
      <c r="E85" s="1">
        <v>82.035700000000006</v>
      </c>
      <c r="F85" s="1">
        <v>13.436500000000001</v>
      </c>
      <c r="H85" s="1">
        <v>82.013800000000003</v>
      </c>
      <c r="I85" s="1">
        <v>11.897</v>
      </c>
      <c r="J85" s="6"/>
      <c r="K85" s="1">
        <v>81.977999999999994</v>
      </c>
      <c r="L85" s="1">
        <v>15.143000000000001</v>
      </c>
      <c r="N85" s="1">
        <v>82.117800000000003</v>
      </c>
      <c r="O85" s="1">
        <v>6.1509999999999998</v>
      </c>
      <c r="Q85" s="1">
        <v>82.003900000000002</v>
      </c>
      <c r="R85" s="1">
        <v>4.5430000000000001</v>
      </c>
      <c r="S85" s="6"/>
      <c r="T85" s="1">
        <v>81.978899999999996</v>
      </c>
      <c r="U85" s="1">
        <v>4.7545000000000002</v>
      </c>
      <c r="W85" s="1">
        <v>82.033900000000003</v>
      </c>
      <c r="X85" s="1">
        <v>4.2069999999999999</v>
      </c>
      <c r="Z85" s="1">
        <v>82.009299999999996</v>
      </c>
      <c r="AA85" s="1">
        <v>6.3135000000000003</v>
      </c>
      <c r="AB85" s="6"/>
      <c r="AC85" s="1">
        <v>82.013999999999996</v>
      </c>
      <c r="AD85" s="1">
        <v>4.6890000000000001</v>
      </c>
      <c r="AF85" s="1">
        <v>81.988299999999995</v>
      </c>
      <c r="AG85" s="1">
        <v>5.0744999999999996</v>
      </c>
      <c r="AI85" s="1">
        <v>82.040300000000002</v>
      </c>
      <c r="AJ85" s="1">
        <v>1.1385000000000001</v>
      </c>
      <c r="AK85" s="6"/>
      <c r="AM85" s="1">
        <v>82.000600000000006</v>
      </c>
      <c r="AN85" s="1">
        <v>11.613</v>
      </c>
      <c r="AP85" s="1">
        <v>81.988600000000005</v>
      </c>
      <c r="AQ85" s="1">
        <v>-1.9564999999999999</v>
      </c>
      <c r="AS85" s="1">
        <v>81.996399999999994</v>
      </c>
      <c r="AT85" s="1">
        <v>2.9489999999999998</v>
      </c>
    </row>
    <row r="86" spans="2:46" x14ac:dyDescent="0.2">
      <c r="B86" s="1">
        <v>83.159599999999998</v>
      </c>
      <c r="C86" s="1">
        <v>16.613499999999998</v>
      </c>
      <c r="E86" s="1">
        <v>83.040300000000002</v>
      </c>
      <c r="F86" s="1">
        <v>13.343</v>
      </c>
      <c r="H86" s="1">
        <v>83.020200000000003</v>
      </c>
      <c r="I86" s="1">
        <v>11.8155</v>
      </c>
      <c r="J86" s="6"/>
      <c r="K86" s="1">
        <v>82.985900000000001</v>
      </c>
      <c r="L86" s="1">
        <v>15.054500000000001</v>
      </c>
      <c r="N86" s="1">
        <v>83.122799999999998</v>
      </c>
      <c r="O86" s="1">
        <v>6.0845000000000002</v>
      </c>
      <c r="Q86" s="1">
        <v>83.006500000000003</v>
      </c>
      <c r="R86" s="1">
        <v>4.4859999999999998</v>
      </c>
      <c r="S86" s="6"/>
      <c r="T86" s="1">
        <v>82.983599999999996</v>
      </c>
      <c r="U86" s="1">
        <v>4.6849999999999996</v>
      </c>
      <c r="W86" s="1">
        <v>83.037700000000001</v>
      </c>
      <c r="X86" s="1">
        <v>4.1405000000000003</v>
      </c>
      <c r="Z86" s="1">
        <v>83.013000000000005</v>
      </c>
      <c r="AA86" s="1">
        <v>6.2329999999999997</v>
      </c>
      <c r="AB86" s="6"/>
      <c r="AC86" s="1">
        <v>83.019499999999994</v>
      </c>
      <c r="AD86" s="1">
        <v>4.5854999999999997</v>
      </c>
      <c r="AF86" s="1">
        <v>82.993099999999998</v>
      </c>
      <c r="AG86" s="1">
        <v>4.9675000000000002</v>
      </c>
      <c r="AI86" s="1">
        <v>83.046899999999994</v>
      </c>
      <c r="AJ86" s="1">
        <v>1.0694999999999999</v>
      </c>
      <c r="AK86" s="6"/>
      <c r="AM86" s="1">
        <v>83.008200000000002</v>
      </c>
      <c r="AN86" s="1">
        <v>11.5245</v>
      </c>
      <c r="AP86" s="1">
        <v>82.994500000000002</v>
      </c>
      <c r="AQ86" s="1">
        <v>-2.0405000000000002</v>
      </c>
      <c r="AS86" s="1">
        <v>83.002899999999997</v>
      </c>
      <c r="AT86" s="1">
        <v>2.8704999999999998</v>
      </c>
    </row>
    <row r="87" spans="2:46" x14ac:dyDescent="0.2">
      <c r="B87" s="1">
        <v>84.165300000000002</v>
      </c>
      <c r="C87" s="1">
        <v>16.545500000000001</v>
      </c>
      <c r="E87" s="1">
        <v>84.046599999999998</v>
      </c>
      <c r="F87" s="1">
        <v>13.254</v>
      </c>
      <c r="H87" s="1">
        <v>84.023899999999998</v>
      </c>
      <c r="I87" s="1">
        <v>11.7325</v>
      </c>
      <c r="J87" s="6"/>
      <c r="K87" s="1">
        <v>83.992699999999999</v>
      </c>
      <c r="L87" s="1">
        <v>14.957000000000001</v>
      </c>
      <c r="N87" s="1">
        <v>84.130799999999994</v>
      </c>
      <c r="O87" s="1">
        <v>6.008</v>
      </c>
      <c r="Q87" s="1">
        <v>84.010199999999998</v>
      </c>
      <c r="R87" s="1">
        <v>4.4195000000000002</v>
      </c>
      <c r="S87" s="6"/>
      <c r="T87" s="1">
        <v>83.988299999999995</v>
      </c>
      <c r="U87" s="1">
        <v>4.6210000000000004</v>
      </c>
      <c r="W87" s="1">
        <v>84.043800000000005</v>
      </c>
      <c r="X87" s="1">
        <v>4.0780000000000003</v>
      </c>
      <c r="Z87" s="1">
        <v>84.019599999999997</v>
      </c>
      <c r="AA87" s="1">
        <v>6.1470000000000002</v>
      </c>
      <c r="AB87" s="6"/>
      <c r="AC87" s="1">
        <v>84.027900000000002</v>
      </c>
      <c r="AD87" s="1">
        <v>4.4855</v>
      </c>
      <c r="AF87" s="1">
        <v>83.998500000000007</v>
      </c>
      <c r="AG87" s="1">
        <v>4.8635000000000002</v>
      </c>
      <c r="AI87" s="1">
        <v>84.052899999999994</v>
      </c>
      <c r="AJ87" s="1">
        <v>0.99399999999999999</v>
      </c>
      <c r="AK87" s="6"/>
      <c r="AM87" s="1">
        <v>84.015299999999996</v>
      </c>
      <c r="AN87" s="1">
        <v>11.429500000000001</v>
      </c>
      <c r="AP87" s="1">
        <v>84.000900000000001</v>
      </c>
      <c r="AQ87" s="1">
        <v>-2.1175000000000002</v>
      </c>
      <c r="AS87" s="1">
        <v>84.006900000000002</v>
      </c>
      <c r="AT87" s="1">
        <v>2.7890000000000001</v>
      </c>
    </row>
    <row r="88" spans="2:46" x14ac:dyDescent="0.2">
      <c r="B88" s="1">
        <v>85.170100000000005</v>
      </c>
      <c r="C88" s="1">
        <v>16.478000000000002</v>
      </c>
      <c r="E88" s="1">
        <v>85.051900000000003</v>
      </c>
      <c r="F88" s="1">
        <v>13.164999999999999</v>
      </c>
      <c r="H88" s="1">
        <v>85.030199999999994</v>
      </c>
      <c r="I88" s="1">
        <v>11.651</v>
      </c>
      <c r="J88" s="6"/>
      <c r="K88" s="1">
        <v>85.000399999999999</v>
      </c>
      <c r="L88" s="1">
        <v>14.8675</v>
      </c>
      <c r="N88" s="1">
        <v>85.135499999999993</v>
      </c>
      <c r="O88" s="1">
        <v>5.9435000000000002</v>
      </c>
      <c r="Q88" s="1">
        <v>85.015100000000004</v>
      </c>
      <c r="R88" s="1">
        <v>4.351</v>
      </c>
      <c r="S88" s="6"/>
      <c r="T88" s="1">
        <v>84.994</v>
      </c>
      <c r="U88" s="1">
        <v>4.5575000000000001</v>
      </c>
      <c r="W88" s="1">
        <v>85.048599999999993</v>
      </c>
      <c r="X88" s="1">
        <v>4.0185000000000004</v>
      </c>
      <c r="Z88" s="1">
        <v>85.024199999999993</v>
      </c>
      <c r="AA88" s="1">
        <v>6.0685000000000002</v>
      </c>
      <c r="AB88" s="6"/>
      <c r="AC88" s="1">
        <v>85.033799999999999</v>
      </c>
      <c r="AD88" s="1">
        <v>4.3905000000000003</v>
      </c>
      <c r="AF88" s="1">
        <v>85.004900000000006</v>
      </c>
      <c r="AG88" s="1">
        <v>4.7655000000000003</v>
      </c>
      <c r="AI88" s="1">
        <v>85.060599999999994</v>
      </c>
      <c r="AJ88" s="1">
        <v>0.91700000000000004</v>
      </c>
      <c r="AK88" s="6"/>
      <c r="AM88" s="1">
        <v>85.020399999999995</v>
      </c>
      <c r="AN88" s="1">
        <v>11.33</v>
      </c>
      <c r="AP88" s="1">
        <v>85.0077</v>
      </c>
      <c r="AQ88" s="1">
        <v>-2.1909999999999998</v>
      </c>
      <c r="AS88" s="1">
        <v>85.012900000000002</v>
      </c>
      <c r="AT88" s="1">
        <v>2.7170000000000001</v>
      </c>
    </row>
    <row r="89" spans="2:46" x14ac:dyDescent="0.2">
      <c r="B89" s="1">
        <v>86.177199999999999</v>
      </c>
      <c r="C89" s="1">
        <v>16.399999999999999</v>
      </c>
      <c r="E89" s="1">
        <v>86.056299999999993</v>
      </c>
      <c r="F89" s="1">
        <v>13.076000000000001</v>
      </c>
      <c r="H89" s="1">
        <v>86.036100000000005</v>
      </c>
      <c r="I89" s="1">
        <v>11.566000000000001</v>
      </c>
      <c r="J89" s="6"/>
      <c r="K89" s="1">
        <v>86.006100000000004</v>
      </c>
      <c r="L89" s="1">
        <v>14.782999999999999</v>
      </c>
      <c r="N89" s="1">
        <v>86.140699999999995</v>
      </c>
      <c r="O89" s="1">
        <v>5.8685</v>
      </c>
      <c r="Q89" s="1">
        <v>86.021500000000003</v>
      </c>
      <c r="R89" s="1">
        <v>4.28</v>
      </c>
      <c r="S89" s="6"/>
      <c r="T89" s="1">
        <v>86.002200000000002</v>
      </c>
      <c r="U89" s="1">
        <v>4.4954999999999998</v>
      </c>
      <c r="W89" s="1">
        <v>86.052800000000005</v>
      </c>
      <c r="X89" s="1">
        <v>3.9575</v>
      </c>
      <c r="Z89" s="1">
        <v>86.029700000000005</v>
      </c>
      <c r="AA89" s="1">
        <v>5.9924999999999997</v>
      </c>
      <c r="AB89" s="6"/>
      <c r="AC89" s="1">
        <v>86.037700000000001</v>
      </c>
      <c r="AD89" s="1">
        <v>4.2949999999999999</v>
      </c>
      <c r="AF89" s="1">
        <v>86.008799999999994</v>
      </c>
      <c r="AG89" s="1">
        <v>4.6539999999999999</v>
      </c>
      <c r="AI89" s="1">
        <v>86.068700000000007</v>
      </c>
      <c r="AJ89" s="1">
        <v>0.83950000000000002</v>
      </c>
      <c r="AK89" s="6"/>
      <c r="AM89" s="1">
        <v>86.025800000000004</v>
      </c>
      <c r="AN89" s="1">
        <v>11.244</v>
      </c>
      <c r="AP89" s="1">
        <v>86.013099999999994</v>
      </c>
      <c r="AQ89" s="1">
        <v>-2.2730000000000001</v>
      </c>
      <c r="AS89" s="1">
        <v>86.017600000000002</v>
      </c>
      <c r="AT89" s="1">
        <v>2.625</v>
      </c>
    </row>
    <row r="90" spans="2:46" x14ac:dyDescent="0.2">
      <c r="B90" s="1">
        <v>87.185299999999998</v>
      </c>
      <c r="C90" s="1">
        <v>16.327500000000001</v>
      </c>
      <c r="E90" s="1">
        <v>87.062600000000003</v>
      </c>
      <c r="F90" s="1">
        <v>12.984</v>
      </c>
      <c r="H90" s="1">
        <v>87.041700000000006</v>
      </c>
      <c r="I90" s="1">
        <v>11.487</v>
      </c>
      <c r="J90" s="6"/>
      <c r="K90" s="1">
        <v>87.011600000000001</v>
      </c>
      <c r="L90" s="1">
        <v>14.696999999999999</v>
      </c>
      <c r="N90" s="1">
        <v>87.144099999999995</v>
      </c>
      <c r="O90" s="1">
        <v>5.7965</v>
      </c>
      <c r="Q90" s="1">
        <v>87.026600000000002</v>
      </c>
      <c r="R90" s="1">
        <v>4.2119999999999997</v>
      </c>
      <c r="S90" s="6"/>
      <c r="T90" s="1">
        <v>87.009399999999999</v>
      </c>
      <c r="U90" s="1">
        <v>4.4210000000000003</v>
      </c>
      <c r="W90" s="1">
        <v>87.059600000000003</v>
      </c>
      <c r="X90" s="1">
        <v>3.8915000000000002</v>
      </c>
      <c r="Z90" s="1">
        <v>87.037700000000001</v>
      </c>
      <c r="AA90" s="1">
        <v>5.9130000000000003</v>
      </c>
      <c r="AB90" s="6"/>
      <c r="AC90" s="1">
        <v>87.041799999999995</v>
      </c>
      <c r="AD90" s="1">
        <v>4.1905000000000001</v>
      </c>
      <c r="AF90" s="1">
        <v>87.013400000000004</v>
      </c>
      <c r="AG90" s="1">
        <v>4.556</v>
      </c>
      <c r="AI90" s="1">
        <v>87.075800000000001</v>
      </c>
      <c r="AJ90" s="1">
        <v>0.77100000000000002</v>
      </c>
      <c r="AK90" s="6"/>
      <c r="AM90" s="1">
        <v>87.030699999999996</v>
      </c>
      <c r="AN90" s="1">
        <v>11.1495</v>
      </c>
      <c r="AP90" s="1">
        <v>87.017099999999999</v>
      </c>
      <c r="AQ90" s="1">
        <v>-2.351</v>
      </c>
      <c r="AS90" s="1">
        <v>87.022300000000001</v>
      </c>
      <c r="AT90" s="1">
        <v>2.5415000000000001</v>
      </c>
    </row>
    <row r="91" spans="2:46" x14ac:dyDescent="0.2">
      <c r="B91" s="1">
        <v>88.191199999999995</v>
      </c>
      <c r="C91" s="1">
        <v>16.2605</v>
      </c>
      <c r="E91" s="1">
        <v>88.069100000000006</v>
      </c>
      <c r="F91" s="1">
        <v>12.898</v>
      </c>
      <c r="H91" s="1">
        <v>88.047899999999998</v>
      </c>
      <c r="I91" s="1">
        <v>11.397500000000001</v>
      </c>
      <c r="J91" s="6"/>
      <c r="K91" s="1">
        <v>88.018600000000006</v>
      </c>
      <c r="L91" s="1">
        <v>14.61</v>
      </c>
      <c r="N91" s="1">
        <v>88.150400000000005</v>
      </c>
      <c r="O91" s="1">
        <v>5.7264999999999997</v>
      </c>
      <c r="Q91" s="1">
        <v>88.033900000000003</v>
      </c>
      <c r="R91" s="1">
        <v>4.1449999999999996</v>
      </c>
      <c r="S91" s="6"/>
      <c r="T91" s="1">
        <v>88.016199999999998</v>
      </c>
      <c r="U91" s="1">
        <v>4.3499999999999996</v>
      </c>
      <c r="W91" s="1">
        <v>88.066699999999997</v>
      </c>
      <c r="X91" s="1">
        <v>3.8304999999999998</v>
      </c>
      <c r="Z91" s="1">
        <v>88.044300000000007</v>
      </c>
      <c r="AA91" s="1">
        <v>5.8360000000000003</v>
      </c>
      <c r="AB91" s="6"/>
      <c r="AC91" s="1">
        <v>88.049599999999998</v>
      </c>
      <c r="AD91" s="1">
        <v>4.0984999999999996</v>
      </c>
      <c r="AF91" s="1">
        <v>88.018100000000004</v>
      </c>
      <c r="AG91" s="1">
        <v>4.45</v>
      </c>
      <c r="AI91" s="1">
        <v>88.082099999999997</v>
      </c>
      <c r="AJ91" s="1">
        <v>0.7</v>
      </c>
      <c r="AK91" s="6"/>
      <c r="AM91" s="1">
        <v>88.035300000000007</v>
      </c>
      <c r="AN91" s="1">
        <v>11.058999999999999</v>
      </c>
      <c r="AP91" s="1">
        <v>88.0214</v>
      </c>
      <c r="AQ91" s="1">
        <v>-2.4140000000000001</v>
      </c>
      <c r="AS91" s="1">
        <v>88.027000000000001</v>
      </c>
      <c r="AT91" s="1">
        <v>2.464</v>
      </c>
    </row>
    <row r="92" spans="2:46" x14ac:dyDescent="0.2">
      <c r="B92" s="1">
        <v>89.196700000000007</v>
      </c>
      <c r="C92" s="1">
        <v>16.190999999999999</v>
      </c>
      <c r="E92" s="1">
        <v>89.079300000000003</v>
      </c>
      <c r="F92" s="1">
        <v>12.811</v>
      </c>
      <c r="H92" s="1">
        <v>89.054699999999997</v>
      </c>
      <c r="I92" s="1">
        <v>11.317500000000001</v>
      </c>
      <c r="J92" s="6"/>
      <c r="K92" s="1">
        <v>89.023300000000006</v>
      </c>
      <c r="L92" s="1">
        <v>14.516500000000001</v>
      </c>
      <c r="N92" s="1">
        <v>89.160300000000007</v>
      </c>
      <c r="O92" s="1">
        <v>5.6494999999999997</v>
      </c>
      <c r="Q92" s="1">
        <v>89.043199999999999</v>
      </c>
      <c r="R92" s="1">
        <v>4.0865</v>
      </c>
      <c r="S92" s="6"/>
      <c r="T92" s="1">
        <v>89.022800000000004</v>
      </c>
      <c r="U92" s="1">
        <v>4.2949999999999999</v>
      </c>
      <c r="W92" s="1">
        <v>89.073899999999995</v>
      </c>
      <c r="X92" s="1">
        <v>3.7645</v>
      </c>
      <c r="Z92" s="1">
        <v>89.049400000000006</v>
      </c>
      <c r="AA92" s="1">
        <v>5.7565</v>
      </c>
      <c r="AB92" s="6"/>
      <c r="AC92" s="1">
        <v>89.056700000000006</v>
      </c>
      <c r="AD92" s="1">
        <v>3.9984999999999999</v>
      </c>
      <c r="AF92" s="1">
        <v>89.024199999999993</v>
      </c>
      <c r="AG92" s="1">
        <v>4.3460000000000001</v>
      </c>
      <c r="AI92" s="1">
        <v>89.094200000000001</v>
      </c>
      <c r="AJ92" s="1">
        <v>0.63400000000000001</v>
      </c>
      <c r="AK92" s="6"/>
      <c r="AM92" s="1">
        <v>89.039599999999993</v>
      </c>
      <c r="AN92" s="1">
        <v>10.965</v>
      </c>
      <c r="AP92" s="1">
        <v>89.026499999999999</v>
      </c>
      <c r="AQ92" s="1">
        <v>-2.4834999999999998</v>
      </c>
      <c r="AS92" s="1">
        <v>89.034000000000006</v>
      </c>
      <c r="AT92" s="1">
        <v>2.3734999999999999</v>
      </c>
    </row>
    <row r="93" spans="2:46" x14ac:dyDescent="0.2">
      <c r="B93" s="1">
        <v>90.201800000000006</v>
      </c>
      <c r="C93" s="1">
        <v>16.116</v>
      </c>
      <c r="E93" s="1">
        <v>90.083799999999997</v>
      </c>
      <c r="F93" s="1">
        <v>12.724500000000001</v>
      </c>
      <c r="H93" s="1">
        <v>90.144999999999996</v>
      </c>
      <c r="I93" s="1">
        <v>11.227</v>
      </c>
      <c r="J93" s="6"/>
      <c r="K93" s="1">
        <v>90.029899999999998</v>
      </c>
      <c r="L93" s="1">
        <v>14.417</v>
      </c>
      <c r="N93" s="1">
        <v>90.166300000000007</v>
      </c>
      <c r="O93" s="1">
        <v>5.577</v>
      </c>
      <c r="Q93" s="1">
        <v>90.0488</v>
      </c>
      <c r="R93" s="1">
        <v>4.0194999999999999</v>
      </c>
      <c r="S93" s="6"/>
      <c r="T93" s="1">
        <v>90.026300000000006</v>
      </c>
      <c r="U93" s="1">
        <v>4.2329999999999997</v>
      </c>
      <c r="W93" s="1">
        <v>90.077699999999993</v>
      </c>
      <c r="X93" s="1">
        <v>3.7050000000000001</v>
      </c>
      <c r="Z93" s="1">
        <v>90.053600000000003</v>
      </c>
      <c r="AA93" s="1">
        <v>5.6689999999999996</v>
      </c>
      <c r="AB93" s="6"/>
      <c r="AC93" s="1">
        <v>90.0642</v>
      </c>
      <c r="AD93" s="1">
        <v>3.8885000000000001</v>
      </c>
      <c r="AF93" s="1">
        <v>90.031000000000006</v>
      </c>
      <c r="AG93" s="1">
        <v>4.2439999999999998</v>
      </c>
      <c r="AI93" s="1">
        <v>90.102000000000004</v>
      </c>
      <c r="AJ93" s="1">
        <v>0.57050000000000001</v>
      </c>
      <c r="AK93" s="6"/>
      <c r="AM93" s="1">
        <v>90.045000000000002</v>
      </c>
      <c r="AN93" s="1">
        <v>10.8725</v>
      </c>
      <c r="AP93" s="1">
        <v>90.034000000000006</v>
      </c>
      <c r="AQ93" s="1">
        <v>-2.5579999999999998</v>
      </c>
      <c r="AS93" s="1">
        <v>90.039100000000005</v>
      </c>
      <c r="AT93" s="1">
        <v>2.2930000000000001</v>
      </c>
    </row>
    <row r="94" spans="2:46" x14ac:dyDescent="0.2">
      <c r="B94" s="1">
        <v>91.206400000000002</v>
      </c>
      <c r="C94" s="1">
        <v>16.05</v>
      </c>
      <c r="E94" s="1">
        <v>91.091399999999993</v>
      </c>
      <c r="F94" s="1">
        <v>12.635</v>
      </c>
      <c r="H94" s="1">
        <v>91.150700000000001</v>
      </c>
      <c r="I94" s="1">
        <v>11.1455</v>
      </c>
      <c r="J94" s="6"/>
      <c r="K94" s="1">
        <v>91.0381</v>
      </c>
      <c r="L94" s="1">
        <v>14.329000000000001</v>
      </c>
      <c r="N94" s="1">
        <v>91.173199999999994</v>
      </c>
      <c r="O94" s="1">
        <v>5.5054999999999996</v>
      </c>
      <c r="Q94" s="1">
        <v>91.054699999999997</v>
      </c>
      <c r="R94" s="1">
        <v>3.9525000000000001</v>
      </c>
      <c r="S94" s="6"/>
      <c r="T94" s="1">
        <v>91.032399999999996</v>
      </c>
      <c r="U94" s="1">
        <v>4.16</v>
      </c>
      <c r="W94" s="1">
        <v>91.081999999999994</v>
      </c>
      <c r="X94" s="1">
        <v>3.6395</v>
      </c>
      <c r="Z94" s="1">
        <v>91.058899999999994</v>
      </c>
      <c r="AA94" s="1">
        <v>5.5875000000000004</v>
      </c>
      <c r="AB94" s="6"/>
      <c r="AC94" s="1">
        <v>91.072100000000006</v>
      </c>
      <c r="AD94" s="1">
        <v>3.7955000000000001</v>
      </c>
      <c r="AF94" s="1">
        <v>91.0381</v>
      </c>
      <c r="AG94" s="1">
        <v>4.1440000000000001</v>
      </c>
      <c r="AI94" s="1">
        <v>91.108800000000002</v>
      </c>
      <c r="AJ94" s="1">
        <v>0.501</v>
      </c>
      <c r="AK94" s="6"/>
      <c r="AM94" s="1">
        <v>91.050299999999993</v>
      </c>
      <c r="AN94" s="1">
        <v>10.778</v>
      </c>
      <c r="AP94" s="1">
        <v>91.043400000000005</v>
      </c>
      <c r="AQ94" s="1">
        <v>-2.6404999999999998</v>
      </c>
      <c r="AS94" s="1">
        <v>91.044600000000003</v>
      </c>
      <c r="AT94" s="1">
        <v>2.2164999999999999</v>
      </c>
    </row>
    <row r="95" spans="2:46" x14ac:dyDescent="0.2">
      <c r="B95" s="1">
        <v>92.209400000000002</v>
      </c>
      <c r="C95" s="1">
        <v>15.984500000000001</v>
      </c>
      <c r="E95" s="1">
        <v>92.096599999999995</v>
      </c>
      <c r="F95" s="1">
        <v>12.5525</v>
      </c>
      <c r="H95" s="1">
        <v>92.156899999999993</v>
      </c>
      <c r="I95" s="1">
        <v>11.058</v>
      </c>
      <c r="J95" s="6"/>
      <c r="K95" s="1">
        <v>92.044300000000007</v>
      </c>
      <c r="L95" s="1">
        <v>14.234999999999999</v>
      </c>
      <c r="N95" s="1">
        <v>92.181899999999999</v>
      </c>
      <c r="O95" s="1">
        <v>5.4340000000000002</v>
      </c>
      <c r="Q95" s="1">
        <v>92.058899999999994</v>
      </c>
      <c r="R95" s="1">
        <v>3.8855</v>
      </c>
      <c r="S95" s="6"/>
      <c r="T95" s="1">
        <v>92.037499999999994</v>
      </c>
      <c r="U95" s="1">
        <v>4.0934999999999997</v>
      </c>
      <c r="W95" s="1">
        <v>92.086799999999997</v>
      </c>
      <c r="X95" s="1">
        <v>3.5779999999999998</v>
      </c>
      <c r="Z95" s="1">
        <v>92.065600000000003</v>
      </c>
      <c r="AA95" s="1">
        <v>5.5015000000000001</v>
      </c>
      <c r="AB95" s="6"/>
      <c r="AC95" s="1">
        <v>92.0779</v>
      </c>
      <c r="AD95" s="1">
        <v>3.6974999999999998</v>
      </c>
      <c r="AF95" s="1">
        <v>92.044600000000003</v>
      </c>
      <c r="AG95" s="1">
        <v>4.0395000000000003</v>
      </c>
      <c r="AI95" s="1">
        <v>92.114900000000006</v>
      </c>
      <c r="AJ95" s="1">
        <v>0.42299999999999999</v>
      </c>
      <c r="AK95" s="6"/>
      <c r="AM95" s="1">
        <v>92.054900000000004</v>
      </c>
      <c r="AN95" s="1">
        <v>10.683999999999999</v>
      </c>
      <c r="AP95" s="1">
        <v>92.047600000000003</v>
      </c>
      <c r="AQ95" s="1">
        <v>-2.7134999999999998</v>
      </c>
      <c r="AS95" s="1">
        <v>92.049800000000005</v>
      </c>
      <c r="AT95" s="1">
        <v>2.1320000000000001</v>
      </c>
    </row>
    <row r="96" spans="2:46" x14ac:dyDescent="0.2">
      <c r="B96" s="1">
        <v>93.2149</v>
      </c>
      <c r="C96" s="1">
        <v>15.9145</v>
      </c>
      <c r="E96" s="1">
        <v>93.102800000000002</v>
      </c>
      <c r="F96" s="1">
        <v>12.4605</v>
      </c>
      <c r="H96" s="1">
        <v>93.163300000000007</v>
      </c>
      <c r="I96" s="1">
        <v>10.981</v>
      </c>
      <c r="J96" s="6"/>
      <c r="K96" s="1">
        <v>93.050799999999995</v>
      </c>
      <c r="L96" s="1">
        <v>14.1425</v>
      </c>
      <c r="N96" s="1">
        <v>93.188000000000002</v>
      </c>
      <c r="O96" s="1">
        <v>5.3609999999999998</v>
      </c>
      <c r="Q96" s="1">
        <v>93.065100000000001</v>
      </c>
      <c r="R96" s="1">
        <v>3.81</v>
      </c>
      <c r="S96" s="6"/>
      <c r="T96" s="1">
        <v>93.043800000000005</v>
      </c>
      <c r="U96" s="1">
        <v>4.0289999999999999</v>
      </c>
      <c r="W96" s="1">
        <v>93.090800000000002</v>
      </c>
      <c r="X96" s="1">
        <v>3.5129999999999999</v>
      </c>
      <c r="Z96" s="1">
        <v>93.073099999999997</v>
      </c>
      <c r="AA96" s="1">
        <v>5.42</v>
      </c>
      <c r="AB96" s="6"/>
      <c r="AC96" s="1">
        <v>93.081100000000006</v>
      </c>
      <c r="AD96" s="1">
        <v>3.5964999999999998</v>
      </c>
      <c r="AF96" s="1">
        <v>93.048699999999997</v>
      </c>
      <c r="AG96" s="1">
        <v>3.9420000000000002</v>
      </c>
      <c r="AI96" s="1">
        <v>93.121799999999993</v>
      </c>
      <c r="AJ96" s="1">
        <v>0.35199999999999998</v>
      </c>
      <c r="AK96" s="6"/>
      <c r="AM96" s="1">
        <v>93.060900000000004</v>
      </c>
      <c r="AN96" s="1">
        <v>10.5875</v>
      </c>
      <c r="AP96" s="1">
        <v>93.052899999999994</v>
      </c>
      <c r="AQ96" s="1">
        <v>-2.7905000000000002</v>
      </c>
      <c r="AS96" s="1">
        <v>93.053899999999999</v>
      </c>
      <c r="AT96" s="1">
        <v>2.0445000000000002</v>
      </c>
    </row>
    <row r="97" spans="2:46" x14ac:dyDescent="0.2">
      <c r="B97" s="1">
        <v>94.221100000000007</v>
      </c>
      <c r="C97" s="1">
        <v>15.846</v>
      </c>
      <c r="E97" s="1">
        <v>94.111199999999997</v>
      </c>
      <c r="F97" s="1">
        <v>12.371</v>
      </c>
      <c r="H97" s="1">
        <v>94.169499999999999</v>
      </c>
      <c r="I97" s="1">
        <v>10.904</v>
      </c>
      <c r="J97" s="6"/>
      <c r="K97" s="1">
        <v>94.055800000000005</v>
      </c>
      <c r="L97" s="1">
        <v>14.048999999999999</v>
      </c>
      <c r="N97" s="1">
        <v>94.1935</v>
      </c>
      <c r="O97" s="1">
        <v>5.29</v>
      </c>
      <c r="Q97" s="1">
        <v>94.072699999999998</v>
      </c>
      <c r="R97" s="1">
        <v>3.74</v>
      </c>
      <c r="S97" s="6"/>
      <c r="T97" s="1">
        <v>94.047399999999996</v>
      </c>
      <c r="U97" s="1">
        <v>3.9569999999999999</v>
      </c>
      <c r="W97" s="1">
        <v>94.097899999999996</v>
      </c>
      <c r="X97" s="1">
        <v>3.4474999999999998</v>
      </c>
      <c r="Z97" s="1">
        <v>94.0762</v>
      </c>
      <c r="AA97" s="1">
        <v>5.3410000000000002</v>
      </c>
      <c r="AB97" s="6"/>
      <c r="AC97" s="1">
        <v>94.085999999999999</v>
      </c>
      <c r="AD97" s="1">
        <v>3.496</v>
      </c>
      <c r="AF97" s="1">
        <v>94.054400000000001</v>
      </c>
      <c r="AG97" s="1">
        <v>3.8410000000000002</v>
      </c>
      <c r="AI97" s="1">
        <v>94.129199999999997</v>
      </c>
      <c r="AJ97" s="1">
        <v>0.28149999999999997</v>
      </c>
      <c r="AK97" s="6"/>
      <c r="AM97" s="1">
        <v>94.069900000000004</v>
      </c>
      <c r="AN97" s="1">
        <v>10.500500000000001</v>
      </c>
      <c r="AP97" s="1">
        <v>94.057400000000001</v>
      </c>
      <c r="AQ97" s="1">
        <v>-2.8660000000000001</v>
      </c>
      <c r="AS97" s="1">
        <v>94.057699999999997</v>
      </c>
      <c r="AT97" s="1">
        <v>1.9684999999999999</v>
      </c>
    </row>
    <row r="98" spans="2:46" x14ac:dyDescent="0.2">
      <c r="B98" s="1">
        <v>95.226100000000002</v>
      </c>
      <c r="C98" s="1">
        <v>15.766999999999999</v>
      </c>
      <c r="E98" s="1">
        <v>95.119399999999999</v>
      </c>
      <c r="F98" s="1">
        <v>12.285</v>
      </c>
      <c r="H98" s="1">
        <v>95.175700000000006</v>
      </c>
      <c r="I98" s="1">
        <v>10.820499999999999</v>
      </c>
      <c r="J98" s="6"/>
      <c r="K98" s="1">
        <v>95.060599999999994</v>
      </c>
      <c r="L98" s="1">
        <v>13.962</v>
      </c>
      <c r="N98" s="1">
        <v>95.2</v>
      </c>
      <c r="O98" s="1">
        <v>5.2320000000000002</v>
      </c>
      <c r="Q98" s="1">
        <v>95.081599999999995</v>
      </c>
      <c r="R98" s="1">
        <v>3.6745000000000001</v>
      </c>
      <c r="S98" s="6"/>
      <c r="T98" s="1">
        <v>95.052400000000006</v>
      </c>
      <c r="U98" s="1">
        <v>3.8965000000000001</v>
      </c>
      <c r="W98" s="1">
        <v>95.104200000000006</v>
      </c>
      <c r="X98" s="1">
        <v>3.3864999999999998</v>
      </c>
      <c r="Z98" s="1">
        <v>95.0809</v>
      </c>
      <c r="AA98" s="1">
        <v>5.2565</v>
      </c>
      <c r="AB98" s="6"/>
      <c r="AC98" s="1">
        <v>95.093500000000006</v>
      </c>
      <c r="AD98" s="1">
        <v>3.3929999999999998</v>
      </c>
      <c r="AF98" s="1">
        <v>95.062100000000001</v>
      </c>
      <c r="AG98" s="1">
        <v>3.7450000000000001</v>
      </c>
      <c r="AI98" s="1">
        <v>95.135300000000001</v>
      </c>
      <c r="AJ98" s="1">
        <v>0.20349999999999999</v>
      </c>
      <c r="AK98" s="6"/>
      <c r="AM98" s="1">
        <v>95.0779</v>
      </c>
      <c r="AN98" s="1">
        <v>10.4125</v>
      </c>
      <c r="AP98" s="1">
        <v>95.061899999999994</v>
      </c>
      <c r="AQ98" s="1">
        <v>-2.9375</v>
      </c>
      <c r="AS98" s="1">
        <v>95.063699999999997</v>
      </c>
      <c r="AT98" s="1">
        <v>1.887</v>
      </c>
    </row>
    <row r="99" spans="2:46" x14ac:dyDescent="0.2">
      <c r="B99" s="1">
        <v>96.290899999999993</v>
      </c>
      <c r="C99" s="1">
        <v>15.702500000000001</v>
      </c>
      <c r="E99" s="1">
        <v>96.126199999999997</v>
      </c>
      <c r="F99" s="1">
        <v>12.2</v>
      </c>
      <c r="H99" s="1">
        <v>96.181399999999996</v>
      </c>
      <c r="I99" s="1">
        <v>10.7445</v>
      </c>
      <c r="J99" s="6"/>
      <c r="K99" s="1">
        <v>96.069000000000003</v>
      </c>
      <c r="L99" s="1">
        <v>13.853</v>
      </c>
      <c r="N99" s="1">
        <v>96.206000000000003</v>
      </c>
      <c r="O99" s="1">
        <v>5.1580000000000004</v>
      </c>
      <c r="Q99" s="1">
        <v>96.086799999999997</v>
      </c>
      <c r="R99" s="1">
        <v>3.6114999999999999</v>
      </c>
      <c r="S99" s="6"/>
      <c r="T99" s="1">
        <v>96.058300000000003</v>
      </c>
      <c r="U99" s="1">
        <v>3.82</v>
      </c>
      <c r="W99" s="1">
        <v>96.107600000000005</v>
      </c>
      <c r="X99" s="1">
        <v>3.3224999999999998</v>
      </c>
      <c r="Z99" s="1">
        <v>96.087900000000005</v>
      </c>
      <c r="AA99" s="1">
        <v>5.1795</v>
      </c>
      <c r="AB99" s="6"/>
      <c r="AC99" s="1">
        <v>96.098200000000006</v>
      </c>
      <c r="AD99" s="1">
        <v>3.294</v>
      </c>
      <c r="AF99" s="1">
        <v>96.068899999999999</v>
      </c>
      <c r="AG99" s="1">
        <v>3.6505000000000001</v>
      </c>
      <c r="AI99" s="1">
        <v>96.140600000000006</v>
      </c>
      <c r="AJ99" s="1">
        <v>0.11849999999999999</v>
      </c>
      <c r="AK99" s="6"/>
      <c r="AM99" s="1">
        <v>96.081500000000005</v>
      </c>
      <c r="AN99" s="1">
        <v>10.324</v>
      </c>
      <c r="AP99" s="1">
        <v>96.067499999999995</v>
      </c>
      <c r="AQ99" s="1">
        <v>-3.0150000000000001</v>
      </c>
      <c r="AS99" s="1">
        <v>96.067599999999999</v>
      </c>
      <c r="AT99" s="1">
        <v>1.7969999999999999</v>
      </c>
    </row>
    <row r="100" spans="2:46" x14ac:dyDescent="0.2">
      <c r="B100" s="1">
        <v>97.295299999999997</v>
      </c>
      <c r="C100" s="1">
        <v>15.635</v>
      </c>
      <c r="E100" s="1">
        <v>97.131799999999998</v>
      </c>
      <c r="F100" s="1">
        <v>12.1235</v>
      </c>
      <c r="H100" s="1">
        <v>97.1892</v>
      </c>
      <c r="I100" s="1">
        <v>10.660500000000001</v>
      </c>
      <c r="J100" s="6"/>
      <c r="K100" s="1">
        <v>97.076099999999997</v>
      </c>
      <c r="L100" s="1">
        <v>13.766500000000001</v>
      </c>
      <c r="N100" s="1">
        <v>97.213200000000001</v>
      </c>
      <c r="O100" s="1">
        <v>5.0824999999999996</v>
      </c>
      <c r="Q100" s="1">
        <v>97.093500000000006</v>
      </c>
      <c r="R100" s="1">
        <v>3.5465</v>
      </c>
      <c r="S100" s="6"/>
      <c r="T100" s="1">
        <v>97.063800000000001</v>
      </c>
      <c r="U100" s="1">
        <v>3.7555000000000001</v>
      </c>
      <c r="W100" s="1">
        <v>97.113</v>
      </c>
      <c r="X100" s="1">
        <v>3.2669999999999999</v>
      </c>
      <c r="Z100" s="1">
        <v>97.096900000000005</v>
      </c>
      <c r="AA100" s="1">
        <v>5.0949999999999998</v>
      </c>
      <c r="AB100" s="6"/>
      <c r="AC100" s="1">
        <v>97.104299999999995</v>
      </c>
      <c r="AD100" s="1">
        <v>3.1894999999999998</v>
      </c>
      <c r="AF100" s="1">
        <v>97.137799999999999</v>
      </c>
      <c r="AG100" s="1">
        <v>3.5430000000000001</v>
      </c>
      <c r="AI100" s="1">
        <v>97.146100000000004</v>
      </c>
      <c r="AJ100" s="1">
        <v>4.8500000000000001E-2</v>
      </c>
      <c r="AK100" s="6"/>
      <c r="AM100" s="1">
        <v>97.089100000000002</v>
      </c>
      <c r="AN100" s="1">
        <v>10.228999999999999</v>
      </c>
      <c r="AP100" s="1">
        <v>97.073899999999995</v>
      </c>
      <c r="AQ100" s="1">
        <v>-3.0830000000000002</v>
      </c>
      <c r="AS100" s="1">
        <v>97.0732</v>
      </c>
      <c r="AT100" s="1">
        <v>1.7164999999999999</v>
      </c>
    </row>
    <row r="101" spans="2:46" x14ac:dyDescent="0.2">
      <c r="B101" s="1">
        <v>98.303899999999999</v>
      </c>
      <c r="C101" s="1">
        <v>15.5685</v>
      </c>
      <c r="E101" s="1">
        <v>98.138000000000005</v>
      </c>
      <c r="F101" s="1">
        <v>12.0365</v>
      </c>
      <c r="H101" s="1">
        <v>98.193399999999997</v>
      </c>
      <c r="I101" s="1">
        <v>10.5915</v>
      </c>
      <c r="J101" s="6"/>
      <c r="K101" s="1">
        <v>98.081400000000002</v>
      </c>
      <c r="L101" s="1">
        <v>13.662000000000001</v>
      </c>
      <c r="N101" s="1">
        <v>98.217799999999997</v>
      </c>
      <c r="O101" s="1">
        <v>5.0134999999999996</v>
      </c>
      <c r="Q101" s="1">
        <v>98.1</v>
      </c>
      <c r="R101" s="1">
        <v>3.4870000000000001</v>
      </c>
      <c r="S101" s="6"/>
      <c r="T101" s="1">
        <v>98.072800000000001</v>
      </c>
      <c r="U101" s="1">
        <v>3.6880000000000002</v>
      </c>
      <c r="W101" s="1">
        <v>98.119799999999998</v>
      </c>
      <c r="X101" s="1">
        <v>3.2004999999999999</v>
      </c>
      <c r="Z101" s="1">
        <v>98.102699999999999</v>
      </c>
      <c r="AA101" s="1">
        <v>5.008</v>
      </c>
      <c r="AB101" s="6"/>
      <c r="AC101" s="1">
        <v>98.109899999999996</v>
      </c>
      <c r="AD101" s="1">
        <v>3.0920000000000001</v>
      </c>
      <c r="AF101" s="1">
        <v>98.145499999999998</v>
      </c>
      <c r="AG101" s="1">
        <v>3.444</v>
      </c>
      <c r="AI101" s="1">
        <v>98.154300000000006</v>
      </c>
      <c r="AJ101" s="1">
        <v>-1.0999999999999999E-2</v>
      </c>
      <c r="AK101" s="6"/>
      <c r="AM101" s="1">
        <v>98.096699999999998</v>
      </c>
      <c r="AN101" s="1">
        <v>10.144500000000001</v>
      </c>
      <c r="AP101" s="1">
        <v>98.0809</v>
      </c>
      <c r="AQ101" s="1">
        <v>-3.1619999999999999</v>
      </c>
      <c r="AS101" s="1">
        <v>98.078900000000004</v>
      </c>
      <c r="AT101" s="1">
        <v>1.635</v>
      </c>
    </row>
    <row r="102" spans="2:46" x14ac:dyDescent="0.2">
      <c r="B102" s="1">
        <v>99.309799999999996</v>
      </c>
      <c r="C102" s="1">
        <v>15.4955</v>
      </c>
      <c r="E102" s="1">
        <v>99.1434</v>
      </c>
      <c r="F102" s="1">
        <v>11.955</v>
      </c>
      <c r="H102" s="1">
        <v>99.198499999999996</v>
      </c>
      <c r="I102" s="1">
        <v>10.5085</v>
      </c>
      <c r="J102" s="6"/>
      <c r="K102" s="1">
        <v>99.088499999999996</v>
      </c>
      <c r="L102" s="1">
        <v>13.5715</v>
      </c>
      <c r="N102" s="1">
        <v>99.224800000000002</v>
      </c>
      <c r="O102" s="1">
        <v>4.9450000000000003</v>
      </c>
      <c r="Q102" s="1">
        <v>99.106200000000001</v>
      </c>
      <c r="R102" s="1">
        <v>3.4319999999999999</v>
      </c>
      <c r="S102" s="6"/>
      <c r="T102" s="1">
        <v>99.0792</v>
      </c>
      <c r="U102" s="1">
        <v>3.62</v>
      </c>
      <c r="W102" s="1">
        <v>99.124700000000004</v>
      </c>
      <c r="X102" s="1">
        <v>3.1419999999999999</v>
      </c>
      <c r="Z102" s="1">
        <v>99.109499999999997</v>
      </c>
      <c r="AA102" s="1">
        <v>4.9279999999999999</v>
      </c>
      <c r="AB102" s="6"/>
      <c r="AC102" s="1">
        <v>99.116399999999999</v>
      </c>
      <c r="AD102" s="1">
        <v>3.0005000000000002</v>
      </c>
      <c r="AF102" s="1">
        <v>99.152000000000001</v>
      </c>
      <c r="AG102" s="1">
        <v>3.347</v>
      </c>
      <c r="AI102" s="1">
        <v>99.164900000000003</v>
      </c>
      <c r="AJ102" s="1">
        <v>-7.5999999999999998E-2</v>
      </c>
      <c r="AK102" s="6"/>
      <c r="AM102" s="1">
        <v>99.104299999999995</v>
      </c>
      <c r="AN102" s="1">
        <v>10.0565</v>
      </c>
      <c r="AP102" s="1">
        <v>99.086500000000001</v>
      </c>
      <c r="AQ102" s="1">
        <v>-3.234</v>
      </c>
      <c r="AS102" s="1">
        <v>99.083799999999997</v>
      </c>
      <c r="AT102" s="1">
        <v>1.5580000000000001</v>
      </c>
    </row>
    <row r="103" spans="2:46" x14ac:dyDescent="0.2">
      <c r="B103" s="1">
        <v>100.31699999999999</v>
      </c>
      <c r="C103" s="1">
        <v>15.4255</v>
      </c>
      <c r="E103" s="1">
        <v>100.15</v>
      </c>
      <c r="F103" s="1">
        <v>11.8645</v>
      </c>
      <c r="H103" s="1">
        <v>100.20099999999999</v>
      </c>
      <c r="I103" s="1">
        <v>10.433999999999999</v>
      </c>
      <c r="J103" s="6"/>
      <c r="K103" s="1">
        <v>100.092</v>
      </c>
      <c r="L103" s="1">
        <v>13.480499999999999</v>
      </c>
      <c r="N103" s="1">
        <v>100.232</v>
      </c>
      <c r="O103" s="1">
        <v>4.8659999999999997</v>
      </c>
      <c r="Q103" s="1">
        <v>100.114</v>
      </c>
      <c r="R103" s="1">
        <v>3.3555000000000001</v>
      </c>
      <c r="S103" s="6"/>
      <c r="T103" s="1">
        <v>100.087</v>
      </c>
      <c r="U103" s="1">
        <v>3.5550000000000002</v>
      </c>
      <c r="W103" s="1">
        <v>100.129</v>
      </c>
      <c r="X103" s="1">
        <v>3.0880000000000001</v>
      </c>
      <c r="Z103" s="1">
        <v>100.117</v>
      </c>
      <c r="AA103" s="1">
        <v>4.8339999999999996</v>
      </c>
      <c r="AB103" s="6"/>
      <c r="AC103" s="1">
        <v>100.121</v>
      </c>
      <c r="AD103" s="1">
        <v>2.9024999999999999</v>
      </c>
      <c r="AF103" s="1">
        <v>100.158</v>
      </c>
      <c r="AG103" s="1">
        <v>3.2545000000000002</v>
      </c>
      <c r="AI103" s="1">
        <v>100.169</v>
      </c>
      <c r="AJ103" s="1">
        <v>-0.14849999999999999</v>
      </c>
      <c r="AK103" s="6"/>
      <c r="AM103" s="1">
        <v>100.111</v>
      </c>
      <c r="AN103" s="1">
        <v>9.9625000000000004</v>
      </c>
      <c r="AP103" s="1">
        <v>100.093</v>
      </c>
      <c r="AQ103" s="1">
        <v>-3.3065000000000002</v>
      </c>
      <c r="AS103" s="1">
        <v>100.089</v>
      </c>
      <c r="AT103" s="1">
        <v>1.4790000000000001</v>
      </c>
    </row>
    <row r="104" spans="2:46" x14ac:dyDescent="0.2">
      <c r="B104" s="1">
        <v>101.322</v>
      </c>
      <c r="C104" s="1">
        <v>15.353999999999999</v>
      </c>
      <c r="E104" s="1">
        <v>101.158</v>
      </c>
      <c r="F104" s="1">
        <v>11.7845</v>
      </c>
      <c r="H104" s="1">
        <v>101.206</v>
      </c>
      <c r="I104" s="1">
        <v>10.347</v>
      </c>
      <c r="J104" s="6"/>
      <c r="K104" s="1">
        <v>101.096</v>
      </c>
      <c r="L104" s="1">
        <v>13.3935</v>
      </c>
      <c r="N104" s="1">
        <v>101.24</v>
      </c>
      <c r="O104" s="1">
        <v>4.79</v>
      </c>
      <c r="Q104" s="1">
        <v>101.12</v>
      </c>
      <c r="R104" s="1">
        <v>3.2839999999999998</v>
      </c>
      <c r="S104" s="6"/>
      <c r="T104" s="1">
        <v>101.093</v>
      </c>
      <c r="U104" s="1">
        <v>3.4889999999999999</v>
      </c>
      <c r="W104" s="1">
        <v>101.133</v>
      </c>
      <c r="X104" s="1">
        <v>3.024</v>
      </c>
      <c r="Z104" s="1">
        <v>101.123</v>
      </c>
      <c r="AA104" s="1">
        <v>4.7549999999999999</v>
      </c>
      <c r="AB104" s="6"/>
      <c r="AC104" s="1">
        <v>101.127</v>
      </c>
      <c r="AD104" s="1">
        <v>2.802</v>
      </c>
      <c r="AF104" s="1">
        <v>101.163</v>
      </c>
      <c r="AG104" s="1">
        <v>3.1615000000000002</v>
      </c>
      <c r="AI104" s="1">
        <v>101.176</v>
      </c>
      <c r="AJ104" s="1">
        <v>-0.21249999999999999</v>
      </c>
      <c r="AK104" s="6"/>
      <c r="AM104" s="1">
        <v>101.117</v>
      </c>
      <c r="AN104" s="1">
        <v>9.8650000000000002</v>
      </c>
      <c r="AP104" s="1">
        <v>101.101</v>
      </c>
      <c r="AQ104" s="1">
        <v>-3.3805000000000001</v>
      </c>
      <c r="AS104" s="1">
        <v>101.093</v>
      </c>
      <c r="AT104" s="1">
        <v>1.3885000000000001</v>
      </c>
    </row>
    <row r="105" spans="2:46" x14ac:dyDescent="0.2">
      <c r="B105" s="1">
        <v>102.327</v>
      </c>
      <c r="C105" s="1">
        <v>15.282</v>
      </c>
      <c r="E105" s="1">
        <v>102.164</v>
      </c>
      <c r="F105" s="1">
        <v>11.702</v>
      </c>
      <c r="H105" s="1">
        <v>102.21</v>
      </c>
      <c r="I105" s="1">
        <v>10.269500000000001</v>
      </c>
      <c r="J105" s="6"/>
      <c r="K105" s="1">
        <v>102.101</v>
      </c>
      <c r="L105" s="1">
        <v>13.3055</v>
      </c>
      <c r="N105" s="1">
        <v>102.245</v>
      </c>
      <c r="O105" s="1">
        <v>4.7134999999999998</v>
      </c>
      <c r="Q105" s="1">
        <v>102.126</v>
      </c>
      <c r="R105" s="1">
        <v>3.2235</v>
      </c>
      <c r="S105" s="6"/>
      <c r="T105" s="1">
        <v>102.1</v>
      </c>
      <c r="U105" s="1">
        <v>3.4285000000000001</v>
      </c>
      <c r="W105" s="1">
        <v>102.13800000000001</v>
      </c>
      <c r="X105" s="1">
        <v>2.9605000000000001</v>
      </c>
      <c r="Z105" s="1">
        <v>102.129</v>
      </c>
      <c r="AA105" s="1">
        <v>4.6755000000000004</v>
      </c>
      <c r="AB105" s="6"/>
      <c r="AC105" s="1">
        <v>102.13500000000001</v>
      </c>
      <c r="AD105" s="1">
        <v>2.7004999999999999</v>
      </c>
      <c r="AF105" s="1">
        <v>102.169</v>
      </c>
      <c r="AG105" s="1">
        <v>3.0619999999999998</v>
      </c>
      <c r="AI105" s="1">
        <v>102.182</v>
      </c>
      <c r="AJ105" s="1">
        <v>-0.28649999999999998</v>
      </c>
      <c r="AK105" s="6"/>
      <c r="AM105" s="1">
        <v>102.125</v>
      </c>
      <c r="AN105" s="1">
        <v>9.7750000000000004</v>
      </c>
      <c r="AP105" s="1">
        <v>102.10599999999999</v>
      </c>
      <c r="AQ105" s="1">
        <v>-3.448</v>
      </c>
      <c r="AS105" s="1">
        <v>102.099</v>
      </c>
      <c r="AT105" s="1">
        <v>1.3025</v>
      </c>
    </row>
    <row r="106" spans="2:46" x14ac:dyDescent="0.2">
      <c r="B106" s="1">
        <v>103.33199999999999</v>
      </c>
      <c r="C106" s="1">
        <v>15.217499999999999</v>
      </c>
      <c r="E106" s="1">
        <v>103.16800000000001</v>
      </c>
      <c r="F106" s="1">
        <v>11.6205</v>
      </c>
      <c r="H106" s="1">
        <v>103.215</v>
      </c>
      <c r="I106" s="1">
        <v>10.1935</v>
      </c>
      <c r="J106" s="6"/>
      <c r="K106" s="1">
        <v>103.10599999999999</v>
      </c>
      <c r="L106" s="1">
        <v>13.2195</v>
      </c>
      <c r="N106" s="1">
        <v>103.25</v>
      </c>
      <c r="O106" s="1">
        <v>4.6440000000000001</v>
      </c>
      <c r="Q106" s="1">
        <v>103.13</v>
      </c>
      <c r="R106" s="1">
        <v>3.1509999999999998</v>
      </c>
      <c r="S106" s="6"/>
      <c r="T106" s="1">
        <v>103.104</v>
      </c>
      <c r="U106" s="1">
        <v>3.3610000000000002</v>
      </c>
      <c r="W106" s="1">
        <v>103.14400000000001</v>
      </c>
      <c r="X106" s="1">
        <v>2.9015</v>
      </c>
      <c r="Z106" s="1">
        <v>103.134</v>
      </c>
      <c r="AA106" s="1">
        <v>4.5910000000000002</v>
      </c>
      <c r="AB106" s="6"/>
      <c r="AC106" s="1">
        <v>103.142</v>
      </c>
      <c r="AD106" s="1">
        <v>2.6070000000000002</v>
      </c>
      <c r="AF106" s="1">
        <v>103.17700000000001</v>
      </c>
      <c r="AG106" s="1">
        <v>2.9609999999999999</v>
      </c>
      <c r="AI106" s="1">
        <v>103.18600000000001</v>
      </c>
      <c r="AJ106" s="1">
        <v>-0.35749999999999998</v>
      </c>
      <c r="AK106" s="6"/>
      <c r="AM106" s="1">
        <v>103.13200000000001</v>
      </c>
      <c r="AN106" s="1">
        <v>9.6925000000000008</v>
      </c>
      <c r="AP106" s="1">
        <v>103.11199999999999</v>
      </c>
      <c r="AQ106" s="1">
        <v>-3.516</v>
      </c>
      <c r="AS106" s="1">
        <v>103.10599999999999</v>
      </c>
      <c r="AT106" s="1">
        <v>1.2170000000000001</v>
      </c>
    </row>
    <row r="107" spans="2:46" x14ac:dyDescent="0.2">
      <c r="B107" s="1">
        <v>104.33799999999999</v>
      </c>
      <c r="C107" s="1">
        <v>15.1425</v>
      </c>
      <c r="E107" s="1">
        <v>104.173</v>
      </c>
      <c r="F107" s="1">
        <v>11.54</v>
      </c>
      <c r="H107" s="1">
        <v>104.221</v>
      </c>
      <c r="I107" s="1">
        <v>10.118</v>
      </c>
      <c r="J107" s="6"/>
      <c r="K107" s="1">
        <v>104.11199999999999</v>
      </c>
      <c r="L107" s="1">
        <v>13.122999999999999</v>
      </c>
      <c r="N107" s="1">
        <v>104.255</v>
      </c>
      <c r="O107" s="1">
        <v>4.5754999999999999</v>
      </c>
      <c r="Q107" s="1">
        <v>104.136</v>
      </c>
      <c r="R107" s="1">
        <v>3.0840000000000001</v>
      </c>
      <c r="S107" s="6"/>
      <c r="T107" s="1">
        <v>104.107</v>
      </c>
      <c r="U107" s="1">
        <v>3.2989999999999999</v>
      </c>
      <c r="W107" s="1">
        <v>104.149</v>
      </c>
      <c r="X107" s="1">
        <v>2.8424999999999998</v>
      </c>
      <c r="Z107" s="1">
        <v>104.139</v>
      </c>
      <c r="AA107" s="1">
        <v>4.5069999999999997</v>
      </c>
      <c r="AB107" s="6"/>
      <c r="AC107" s="1">
        <v>104.151</v>
      </c>
      <c r="AD107" s="1">
        <v>2.5129999999999999</v>
      </c>
      <c r="AF107" s="1">
        <v>104.18600000000001</v>
      </c>
      <c r="AG107" s="1">
        <v>2.8635000000000002</v>
      </c>
      <c r="AI107" s="1">
        <v>104.18899999999999</v>
      </c>
      <c r="AJ107" s="1">
        <v>-0.434</v>
      </c>
      <c r="AK107" s="6"/>
      <c r="AM107" s="1">
        <v>104.13800000000001</v>
      </c>
      <c r="AN107" s="1">
        <v>9.6039999999999992</v>
      </c>
      <c r="AP107" s="1">
        <v>104.116</v>
      </c>
      <c r="AQ107" s="1">
        <v>-3.5905</v>
      </c>
      <c r="AS107" s="1">
        <v>104.10899999999999</v>
      </c>
      <c r="AT107" s="1">
        <v>1.1419999999999999</v>
      </c>
    </row>
    <row r="108" spans="2:46" x14ac:dyDescent="0.2">
      <c r="B108" s="1">
        <v>105.345</v>
      </c>
      <c r="C108" s="1">
        <v>15.074</v>
      </c>
      <c r="E108" s="1">
        <v>105.178</v>
      </c>
      <c r="F108" s="1">
        <v>11.4605</v>
      </c>
      <c r="H108" s="1">
        <v>105.227</v>
      </c>
      <c r="I108" s="1">
        <v>10.028</v>
      </c>
      <c r="J108" s="6"/>
      <c r="K108" s="1">
        <v>105.116</v>
      </c>
      <c r="L108" s="1">
        <v>13.034000000000001</v>
      </c>
      <c r="N108" s="1">
        <v>105.26300000000001</v>
      </c>
      <c r="O108" s="1">
        <v>4.5039999999999996</v>
      </c>
      <c r="Q108" s="1">
        <v>105.14400000000001</v>
      </c>
      <c r="R108" s="1">
        <v>3.0125000000000002</v>
      </c>
      <c r="S108" s="6"/>
      <c r="T108" s="1">
        <v>105.113</v>
      </c>
      <c r="U108" s="1">
        <v>3.2345000000000002</v>
      </c>
      <c r="W108" s="1">
        <v>105.15600000000001</v>
      </c>
      <c r="X108" s="1">
        <v>2.7814999999999999</v>
      </c>
      <c r="Z108" s="1">
        <v>105.142</v>
      </c>
      <c r="AA108" s="1">
        <v>4.4264999999999999</v>
      </c>
      <c r="AB108" s="6"/>
      <c r="AC108" s="1">
        <v>105.157</v>
      </c>
      <c r="AD108" s="1">
        <v>2.423</v>
      </c>
      <c r="AF108" s="1">
        <v>105.19199999999999</v>
      </c>
      <c r="AG108" s="1">
        <v>2.7685</v>
      </c>
      <c r="AI108" s="1">
        <v>105.197</v>
      </c>
      <c r="AJ108" s="1">
        <v>-0.49099999999999999</v>
      </c>
      <c r="AK108" s="6"/>
      <c r="AM108" s="1">
        <v>105.146</v>
      </c>
      <c r="AN108" s="1">
        <v>9.5079999999999991</v>
      </c>
      <c r="AP108" s="1">
        <v>105.123</v>
      </c>
      <c r="AQ108" s="1">
        <v>-3.6595</v>
      </c>
      <c r="AS108" s="1">
        <v>105.113</v>
      </c>
      <c r="AT108" s="1">
        <v>1.07</v>
      </c>
    </row>
    <row r="109" spans="2:46" x14ac:dyDescent="0.2">
      <c r="B109" s="1">
        <v>106.35</v>
      </c>
      <c r="C109" s="1">
        <v>15.0085</v>
      </c>
      <c r="E109" s="1">
        <v>106.18300000000001</v>
      </c>
      <c r="F109" s="1">
        <v>11.381</v>
      </c>
      <c r="H109" s="1">
        <v>106.23699999999999</v>
      </c>
      <c r="I109" s="1">
        <v>9.9484999999999992</v>
      </c>
      <c r="J109" s="6"/>
      <c r="K109" s="1">
        <v>106.122</v>
      </c>
      <c r="L109" s="1">
        <v>12.946999999999999</v>
      </c>
      <c r="N109" s="1">
        <v>106.268</v>
      </c>
      <c r="O109" s="1">
        <v>4.4329999999999998</v>
      </c>
      <c r="Q109" s="1">
        <v>106.151</v>
      </c>
      <c r="R109" s="1">
        <v>2.9529999999999998</v>
      </c>
      <c r="S109" s="6"/>
      <c r="T109" s="1">
        <v>106.119</v>
      </c>
      <c r="U109" s="1">
        <v>3.17</v>
      </c>
      <c r="W109" s="1">
        <v>106.16200000000001</v>
      </c>
      <c r="X109" s="1">
        <v>2.7294999999999998</v>
      </c>
      <c r="Z109" s="1">
        <v>106.148</v>
      </c>
      <c r="AA109" s="1">
        <v>4.3434999999999997</v>
      </c>
      <c r="AB109" s="6"/>
      <c r="AC109" s="1">
        <v>106.161</v>
      </c>
      <c r="AD109" s="1">
        <v>2.3180000000000001</v>
      </c>
      <c r="AF109" s="1">
        <v>106.20099999999999</v>
      </c>
      <c r="AG109" s="1">
        <v>2.6705000000000001</v>
      </c>
      <c r="AI109" s="1">
        <v>106.205</v>
      </c>
      <c r="AJ109" s="1">
        <v>-0.5635</v>
      </c>
      <c r="AK109" s="6"/>
      <c r="AM109" s="1">
        <v>106.148</v>
      </c>
      <c r="AN109" s="1">
        <v>9.4175000000000004</v>
      </c>
      <c r="AP109" s="1">
        <v>106.13</v>
      </c>
      <c r="AQ109" s="1">
        <v>-3.7280000000000002</v>
      </c>
      <c r="AS109" s="1">
        <v>106.11799999999999</v>
      </c>
      <c r="AT109" s="1">
        <v>0.99050000000000005</v>
      </c>
    </row>
    <row r="110" spans="2:46" x14ac:dyDescent="0.2">
      <c r="B110" s="1">
        <v>107.355</v>
      </c>
      <c r="C110" s="1">
        <v>14.938000000000001</v>
      </c>
      <c r="E110" s="1">
        <v>107.187</v>
      </c>
      <c r="F110" s="1">
        <v>11.295</v>
      </c>
      <c r="H110" s="1">
        <v>107.24299999999999</v>
      </c>
      <c r="I110" s="1">
        <v>9.8674999999999997</v>
      </c>
      <c r="J110" s="6"/>
      <c r="K110" s="1">
        <v>107.127</v>
      </c>
      <c r="L110" s="1">
        <v>12.855499999999999</v>
      </c>
      <c r="N110" s="1">
        <v>107.274</v>
      </c>
      <c r="O110" s="1">
        <v>4.351</v>
      </c>
      <c r="Q110" s="1">
        <v>107.15900000000001</v>
      </c>
      <c r="R110" s="1">
        <v>2.8919999999999999</v>
      </c>
      <c r="S110" s="6"/>
      <c r="T110" s="1">
        <v>107.128</v>
      </c>
      <c r="U110" s="1">
        <v>3.1034999999999999</v>
      </c>
      <c r="W110" s="1">
        <v>107.169</v>
      </c>
      <c r="X110" s="1">
        <v>2.6844999999999999</v>
      </c>
      <c r="Z110" s="1">
        <v>107.15300000000001</v>
      </c>
      <c r="AA110" s="1">
        <v>4.2694999999999999</v>
      </c>
      <c r="AB110" s="6"/>
      <c r="AC110" s="1">
        <v>107.16800000000001</v>
      </c>
      <c r="AD110" s="1">
        <v>2.2275</v>
      </c>
      <c r="AF110" s="1">
        <v>107.208</v>
      </c>
      <c r="AG110" s="1">
        <v>2.5794999999999999</v>
      </c>
      <c r="AI110" s="1">
        <v>107.21</v>
      </c>
      <c r="AJ110" s="1">
        <v>-0.63600000000000001</v>
      </c>
      <c r="AK110" s="6"/>
      <c r="AM110" s="1">
        <v>107.155</v>
      </c>
      <c r="AN110" s="1">
        <v>9.3369999999999997</v>
      </c>
      <c r="AP110" s="1">
        <v>107.136</v>
      </c>
      <c r="AQ110" s="1">
        <v>-3.7989999999999999</v>
      </c>
      <c r="AS110" s="1">
        <v>107.125</v>
      </c>
      <c r="AT110" s="1">
        <v>0.91500000000000004</v>
      </c>
    </row>
    <row r="111" spans="2:46" x14ac:dyDescent="0.2">
      <c r="B111" s="1">
        <v>108.361</v>
      </c>
      <c r="C111" s="1">
        <v>14.871499999999999</v>
      </c>
      <c r="E111" s="1">
        <v>108.193</v>
      </c>
      <c r="F111" s="1">
        <v>11.207000000000001</v>
      </c>
      <c r="H111" s="1">
        <v>108.25</v>
      </c>
      <c r="I111" s="1">
        <v>9.7895000000000003</v>
      </c>
      <c r="J111" s="6"/>
      <c r="K111" s="1">
        <v>108.131</v>
      </c>
      <c r="L111" s="1">
        <v>12.765000000000001</v>
      </c>
      <c r="N111" s="1">
        <v>108.28100000000001</v>
      </c>
      <c r="O111" s="1">
        <v>4.2789999999999999</v>
      </c>
      <c r="Q111" s="1">
        <v>108.16500000000001</v>
      </c>
      <c r="R111" s="1">
        <v>2.8130000000000002</v>
      </c>
      <c r="S111" s="6"/>
      <c r="T111" s="1">
        <v>108.13800000000001</v>
      </c>
      <c r="U111" s="1">
        <v>3.0425</v>
      </c>
      <c r="W111" s="1">
        <v>108.181</v>
      </c>
      <c r="X111" s="1">
        <v>2.6219999999999999</v>
      </c>
      <c r="Z111" s="1">
        <v>108.16</v>
      </c>
      <c r="AA111" s="1">
        <v>4.1875</v>
      </c>
      <c r="AB111" s="6"/>
      <c r="AC111" s="1">
        <v>108.17400000000001</v>
      </c>
      <c r="AD111" s="1">
        <v>2.1335000000000002</v>
      </c>
      <c r="AF111" s="1">
        <v>108.212</v>
      </c>
      <c r="AG111" s="1">
        <v>2.488</v>
      </c>
      <c r="AI111" s="1">
        <v>108.218</v>
      </c>
      <c r="AJ111" s="1">
        <v>-0.70450000000000002</v>
      </c>
      <c r="AK111" s="6"/>
      <c r="AM111" s="1">
        <v>108.161</v>
      </c>
      <c r="AN111" s="1">
        <v>9.25</v>
      </c>
      <c r="AP111" s="1">
        <v>108.14100000000001</v>
      </c>
      <c r="AQ111" s="1">
        <v>-3.863</v>
      </c>
      <c r="AS111" s="1">
        <v>108.133</v>
      </c>
      <c r="AT111" s="1">
        <v>0.83750000000000002</v>
      </c>
    </row>
    <row r="112" spans="2:46" x14ac:dyDescent="0.2">
      <c r="B112" s="1">
        <v>109.371</v>
      </c>
      <c r="C112" s="1">
        <v>14.7965</v>
      </c>
      <c r="E112" s="1">
        <v>109.19799999999999</v>
      </c>
      <c r="F112" s="1">
        <v>11.1295</v>
      </c>
      <c r="H112" s="1">
        <v>109.255</v>
      </c>
      <c r="I112" s="1">
        <v>9.7114999999999991</v>
      </c>
      <c r="J112" s="6"/>
      <c r="K112" s="1">
        <v>109.136</v>
      </c>
      <c r="L112" s="1">
        <v>12.68</v>
      </c>
      <c r="N112" s="1">
        <v>109.288</v>
      </c>
      <c r="O112" s="1">
        <v>4.2089999999999996</v>
      </c>
      <c r="Q112" s="1">
        <v>109.17100000000001</v>
      </c>
      <c r="R112" s="1">
        <v>2.7440000000000002</v>
      </c>
      <c r="S112" s="6"/>
      <c r="T112" s="1">
        <v>109.145</v>
      </c>
      <c r="U112" s="1">
        <v>2.9809999999999999</v>
      </c>
      <c r="W112" s="1">
        <v>109.188</v>
      </c>
      <c r="X112" s="1">
        <v>2.5674999999999999</v>
      </c>
      <c r="Z112" s="1">
        <v>109.166</v>
      </c>
      <c r="AA112" s="1">
        <v>4.0984999999999996</v>
      </c>
      <c r="AB112" s="6"/>
      <c r="AC112" s="1">
        <v>109.176</v>
      </c>
      <c r="AD112" s="1">
        <v>2.0474999999999999</v>
      </c>
      <c r="AF112" s="1">
        <v>109.217</v>
      </c>
      <c r="AG112" s="1">
        <v>2.395</v>
      </c>
      <c r="AI112" s="1">
        <v>109.224</v>
      </c>
      <c r="AJ112" s="1">
        <v>-0.76700000000000002</v>
      </c>
      <c r="AK112" s="6"/>
      <c r="AM112" s="1">
        <v>109.166</v>
      </c>
      <c r="AN112" s="1">
        <v>9.1585000000000001</v>
      </c>
      <c r="AP112" s="1">
        <v>109.14700000000001</v>
      </c>
      <c r="AQ112" s="1">
        <v>-3.9344999999999999</v>
      </c>
      <c r="AS112" s="1">
        <v>109.139</v>
      </c>
      <c r="AT112" s="1">
        <v>0.74199999999999999</v>
      </c>
    </row>
    <row r="113" spans="2:46" x14ac:dyDescent="0.2">
      <c r="B113" s="1">
        <v>110.375</v>
      </c>
      <c r="C113" s="1">
        <v>14.7285</v>
      </c>
      <c r="E113" s="1">
        <v>110.20399999999999</v>
      </c>
      <c r="F113" s="1">
        <v>11.044499999999999</v>
      </c>
      <c r="H113" s="1">
        <v>110.261</v>
      </c>
      <c r="I113" s="1">
        <v>9.6300000000000008</v>
      </c>
      <c r="J113" s="6"/>
      <c r="K113" s="1">
        <v>110.145</v>
      </c>
      <c r="L113" s="1">
        <v>12.6015</v>
      </c>
      <c r="N113" s="1">
        <v>110.294</v>
      </c>
      <c r="O113" s="1">
        <v>4.1395</v>
      </c>
      <c r="Q113" s="1">
        <v>110.179</v>
      </c>
      <c r="R113" s="1">
        <v>2.6775000000000002</v>
      </c>
      <c r="S113" s="6"/>
      <c r="T113" s="1">
        <v>110.15300000000001</v>
      </c>
      <c r="U113" s="1">
        <v>2.9075000000000002</v>
      </c>
      <c r="W113" s="1">
        <v>110.193</v>
      </c>
      <c r="X113" s="1">
        <v>2.5110000000000001</v>
      </c>
      <c r="Z113" s="1">
        <v>110.17</v>
      </c>
      <c r="AA113" s="1">
        <v>4.0279999999999996</v>
      </c>
      <c r="AB113" s="6"/>
      <c r="AC113" s="1">
        <v>110.181</v>
      </c>
      <c r="AD113" s="1">
        <v>1.948</v>
      </c>
      <c r="AF113" s="1">
        <v>110.22199999999999</v>
      </c>
      <c r="AG113" s="1">
        <v>2.3005</v>
      </c>
      <c r="AI113" s="1">
        <v>110.23099999999999</v>
      </c>
      <c r="AJ113" s="1">
        <v>-0.83150000000000002</v>
      </c>
      <c r="AK113" s="6"/>
      <c r="AM113" s="1">
        <v>110.17100000000001</v>
      </c>
      <c r="AN113" s="1">
        <v>9.0709999999999997</v>
      </c>
      <c r="AP113" s="1">
        <v>110.154</v>
      </c>
      <c r="AQ113" s="1">
        <v>-4.0030000000000001</v>
      </c>
      <c r="AS113" s="1">
        <v>110.14700000000001</v>
      </c>
      <c r="AT113" s="1">
        <v>0.66449999999999998</v>
      </c>
    </row>
    <row r="114" spans="2:46" x14ac:dyDescent="0.2">
      <c r="B114" s="1">
        <v>111.383</v>
      </c>
      <c r="C114" s="1">
        <v>14.662000000000001</v>
      </c>
      <c r="E114" s="1">
        <v>111.214</v>
      </c>
      <c r="F114" s="1">
        <v>10.961</v>
      </c>
      <c r="H114" s="1">
        <v>111.267</v>
      </c>
      <c r="I114" s="1">
        <v>9.5495000000000001</v>
      </c>
      <c r="J114" s="6"/>
      <c r="K114" s="1">
        <v>111.151</v>
      </c>
      <c r="L114" s="1">
        <v>12.4975</v>
      </c>
      <c r="N114" s="1">
        <v>111.301</v>
      </c>
      <c r="O114" s="1">
        <v>4.069</v>
      </c>
      <c r="Q114" s="1">
        <v>111.187</v>
      </c>
      <c r="R114" s="1">
        <v>2.617</v>
      </c>
      <c r="S114" s="6"/>
      <c r="T114" s="1">
        <v>111.16200000000001</v>
      </c>
      <c r="U114" s="1">
        <v>2.8405</v>
      </c>
      <c r="W114" s="1">
        <v>111.2</v>
      </c>
      <c r="X114" s="1">
        <v>2.4544999999999999</v>
      </c>
      <c r="Z114" s="1">
        <v>111.173</v>
      </c>
      <c r="AA114" s="1">
        <v>3.9605000000000001</v>
      </c>
      <c r="AB114" s="6"/>
      <c r="AC114" s="1">
        <v>111.18600000000001</v>
      </c>
      <c r="AD114" s="1">
        <v>1.847</v>
      </c>
      <c r="AF114" s="1">
        <v>111.22799999999999</v>
      </c>
      <c r="AG114" s="1">
        <v>2.1974999999999998</v>
      </c>
      <c r="AI114" s="1">
        <v>111.236</v>
      </c>
      <c r="AJ114" s="1">
        <v>-0.90149999999999997</v>
      </c>
      <c r="AK114" s="6"/>
      <c r="AM114" s="1">
        <v>111.17700000000001</v>
      </c>
      <c r="AN114" s="1">
        <v>8.9819999999999993</v>
      </c>
      <c r="AP114" s="1">
        <v>111.15900000000001</v>
      </c>
      <c r="AQ114" s="1">
        <v>-4.0659999999999998</v>
      </c>
      <c r="AS114" s="1">
        <v>111.152</v>
      </c>
      <c r="AT114" s="1">
        <v>0.58699999999999997</v>
      </c>
    </row>
    <row r="115" spans="2:46" x14ac:dyDescent="0.2">
      <c r="B115" s="1">
        <v>112.38800000000001</v>
      </c>
      <c r="C115" s="1">
        <v>14.593999999999999</v>
      </c>
      <c r="E115" s="1">
        <v>112.223</v>
      </c>
      <c r="F115" s="1">
        <v>10.872999999999999</v>
      </c>
      <c r="H115" s="1">
        <v>112.27500000000001</v>
      </c>
      <c r="I115" s="1">
        <v>9.4674999999999994</v>
      </c>
      <c r="J115" s="6"/>
      <c r="K115" s="1">
        <v>112.157</v>
      </c>
      <c r="L115" s="1">
        <v>12.401</v>
      </c>
      <c r="N115" s="1">
        <v>112.309</v>
      </c>
      <c r="O115" s="1">
        <v>4</v>
      </c>
      <c r="Q115" s="1">
        <v>112.193</v>
      </c>
      <c r="R115" s="1">
        <v>2.5470000000000002</v>
      </c>
      <c r="S115" s="6"/>
      <c r="T115" s="1">
        <v>112.16800000000001</v>
      </c>
      <c r="U115" s="1">
        <v>2.7745000000000002</v>
      </c>
      <c r="W115" s="1">
        <v>112.209</v>
      </c>
      <c r="X115" s="1">
        <v>2.399</v>
      </c>
      <c r="Z115" s="1">
        <v>112.18</v>
      </c>
      <c r="AA115" s="1">
        <v>3.8784999999999998</v>
      </c>
      <c r="AB115" s="6"/>
      <c r="AC115" s="1">
        <v>112.19499999999999</v>
      </c>
      <c r="AD115" s="1">
        <v>1.75</v>
      </c>
      <c r="AF115" s="1">
        <v>112.232</v>
      </c>
      <c r="AG115" s="1">
        <v>2.0979999999999999</v>
      </c>
      <c r="AI115" s="1">
        <v>112.245</v>
      </c>
      <c r="AJ115" s="1">
        <v>-0.96650000000000003</v>
      </c>
      <c r="AK115" s="6"/>
      <c r="AM115" s="1">
        <v>112.182</v>
      </c>
      <c r="AN115" s="1">
        <v>8.891</v>
      </c>
      <c r="AP115" s="1">
        <v>112.16500000000001</v>
      </c>
      <c r="AQ115" s="1">
        <v>-4.1289999999999996</v>
      </c>
      <c r="AS115" s="1">
        <v>112.15900000000001</v>
      </c>
      <c r="AT115" s="1">
        <v>0.51349999999999996</v>
      </c>
    </row>
    <row r="116" spans="2:46" x14ac:dyDescent="0.2">
      <c r="B116" s="1">
        <v>113.392</v>
      </c>
      <c r="C116" s="1">
        <v>14.531000000000001</v>
      </c>
      <c r="E116" s="1">
        <v>113.23</v>
      </c>
      <c r="F116" s="1">
        <v>10.789</v>
      </c>
      <c r="H116" s="1">
        <v>113.282</v>
      </c>
      <c r="I116" s="1">
        <v>9.3825000000000003</v>
      </c>
      <c r="J116" s="6"/>
      <c r="K116" s="1">
        <v>113.164</v>
      </c>
      <c r="L116" s="1">
        <v>12.307</v>
      </c>
      <c r="N116" s="1">
        <v>113.313</v>
      </c>
      <c r="O116" s="1">
        <v>3.9264999999999999</v>
      </c>
      <c r="Q116" s="1">
        <v>113.199</v>
      </c>
      <c r="R116" s="1">
        <v>2.4790000000000001</v>
      </c>
      <c r="S116" s="6"/>
      <c r="T116" s="1">
        <v>113.173</v>
      </c>
      <c r="U116" s="1">
        <v>2.714</v>
      </c>
      <c r="W116" s="1">
        <v>113.214</v>
      </c>
      <c r="X116" s="1">
        <v>2.3410000000000002</v>
      </c>
      <c r="Z116" s="1">
        <v>113.184</v>
      </c>
      <c r="AA116" s="1">
        <v>3.7974999999999999</v>
      </c>
      <c r="AB116" s="6"/>
      <c r="AC116" s="1">
        <v>113.2</v>
      </c>
      <c r="AD116" s="1">
        <v>1.6525000000000001</v>
      </c>
      <c r="AF116" s="1">
        <v>113.238</v>
      </c>
      <c r="AG116" s="1">
        <v>2.008</v>
      </c>
      <c r="AI116" s="1">
        <v>113.254</v>
      </c>
      <c r="AJ116" s="1">
        <v>-1.0335000000000001</v>
      </c>
      <c r="AK116" s="6"/>
      <c r="AM116" s="1">
        <v>113.187</v>
      </c>
      <c r="AN116" s="1">
        <v>8.7995000000000001</v>
      </c>
      <c r="AP116" s="1">
        <v>113.16800000000001</v>
      </c>
      <c r="AQ116" s="1">
        <v>-4.1820000000000004</v>
      </c>
      <c r="AS116" s="1">
        <v>113.163</v>
      </c>
      <c r="AT116" s="1">
        <v>0.42949999999999999</v>
      </c>
    </row>
    <row r="117" spans="2:46" x14ac:dyDescent="0.2">
      <c r="B117" s="1">
        <v>114.396</v>
      </c>
      <c r="C117" s="1">
        <v>14.462</v>
      </c>
      <c r="E117" s="1">
        <v>114.239</v>
      </c>
      <c r="F117" s="1">
        <v>10.709</v>
      </c>
      <c r="H117" s="1">
        <v>114.289</v>
      </c>
      <c r="I117" s="1">
        <v>9.3045000000000009</v>
      </c>
      <c r="J117" s="6"/>
      <c r="K117" s="1">
        <v>114.17</v>
      </c>
      <c r="L117" s="1">
        <v>12.214499999999999</v>
      </c>
      <c r="N117" s="1">
        <v>114.31699999999999</v>
      </c>
      <c r="O117" s="1">
        <v>3.8555000000000001</v>
      </c>
      <c r="Q117" s="1">
        <v>114.20399999999999</v>
      </c>
      <c r="R117" s="1">
        <v>2.4095</v>
      </c>
      <c r="S117" s="6"/>
      <c r="T117" s="1">
        <v>114.178</v>
      </c>
      <c r="U117" s="1">
        <v>2.6469999999999998</v>
      </c>
      <c r="W117" s="1">
        <v>114.224</v>
      </c>
      <c r="X117" s="1">
        <v>2.282</v>
      </c>
      <c r="Z117" s="1">
        <v>114.188</v>
      </c>
      <c r="AA117" s="1">
        <v>3.7204999999999999</v>
      </c>
      <c r="AB117" s="6"/>
      <c r="AC117" s="1">
        <v>114.202</v>
      </c>
      <c r="AD117" s="1">
        <v>1.5620000000000001</v>
      </c>
      <c r="AF117" s="1">
        <v>114.244</v>
      </c>
      <c r="AG117" s="1">
        <v>1.9085000000000001</v>
      </c>
      <c r="AI117" s="1">
        <v>114.259</v>
      </c>
      <c r="AJ117" s="1">
        <v>-1.1005</v>
      </c>
      <c r="AK117" s="6"/>
      <c r="AM117" s="1">
        <v>114.194</v>
      </c>
      <c r="AN117" s="1">
        <v>8.7149999999999999</v>
      </c>
      <c r="AP117" s="1">
        <v>114.172</v>
      </c>
      <c r="AQ117" s="1">
        <v>-4.2104999999999997</v>
      </c>
      <c r="AS117" s="1">
        <v>114.169</v>
      </c>
      <c r="AT117" s="1">
        <v>0.34649999999999997</v>
      </c>
    </row>
    <row r="118" spans="2:46" x14ac:dyDescent="0.2">
      <c r="B118" s="1">
        <v>115.40300000000001</v>
      </c>
      <c r="C118" s="1">
        <v>14.385</v>
      </c>
      <c r="E118" s="1">
        <v>115.244</v>
      </c>
      <c r="F118" s="1">
        <v>10.628</v>
      </c>
      <c r="H118" s="1">
        <v>115.294</v>
      </c>
      <c r="I118" s="1">
        <v>9.2219999999999995</v>
      </c>
      <c r="J118" s="6"/>
      <c r="K118" s="1">
        <v>115.17700000000001</v>
      </c>
      <c r="L118" s="1">
        <v>12.1145</v>
      </c>
      <c r="N118" s="1">
        <v>115.321</v>
      </c>
      <c r="O118" s="1">
        <v>3.7894999999999999</v>
      </c>
      <c r="Q118" s="1">
        <v>115.211</v>
      </c>
      <c r="R118" s="1">
        <v>2.343</v>
      </c>
      <c r="S118" s="6"/>
      <c r="T118" s="1">
        <v>115.18300000000001</v>
      </c>
      <c r="U118" s="1">
        <v>2.5819999999999999</v>
      </c>
      <c r="W118" s="1">
        <v>115.232</v>
      </c>
      <c r="X118" s="1">
        <v>2.2244999999999999</v>
      </c>
      <c r="Z118" s="1">
        <v>115.19199999999999</v>
      </c>
      <c r="AA118" s="1">
        <v>3.6419999999999999</v>
      </c>
      <c r="AB118" s="6"/>
      <c r="AC118" s="1">
        <v>115.20399999999999</v>
      </c>
      <c r="AD118" s="1">
        <v>1.4670000000000001</v>
      </c>
      <c r="AF118" s="1">
        <v>115.252</v>
      </c>
      <c r="AG118" s="1">
        <v>1.8129999999999999</v>
      </c>
      <c r="AI118" s="1">
        <v>115.265</v>
      </c>
      <c r="AJ118" s="1">
        <v>-1.1685000000000001</v>
      </c>
      <c r="AK118" s="6"/>
      <c r="AM118" s="1">
        <v>115.20099999999999</v>
      </c>
      <c r="AN118" s="1">
        <v>8.6265000000000001</v>
      </c>
      <c r="AP118" s="1">
        <v>115.17700000000001</v>
      </c>
      <c r="AQ118" s="1">
        <v>-4.2374999999999998</v>
      </c>
      <c r="AS118" s="1">
        <v>115.17400000000001</v>
      </c>
      <c r="AT118" s="1">
        <v>0.27500000000000002</v>
      </c>
    </row>
    <row r="119" spans="2:46" x14ac:dyDescent="0.2">
      <c r="B119" s="1">
        <v>116.41</v>
      </c>
      <c r="C119" s="1">
        <v>14.326499999999999</v>
      </c>
      <c r="E119" s="1">
        <v>116.252</v>
      </c>
      <c r="F119" s="1">
        <v>10.536</v>
      </c>
      <c r="H119" s="1">
        <v>116.29900000000001</v>
      </c>
      <c r="I119" s="1">
        <v>9.1425000000000001</v>
      </c>
      <c r="J119" s="6"/>
      <c r="K119" s="1">
        <v>116.182</v>
      </c>
      <c r="L119" s="1">
        <v>12.021000000000001</v>
      </c>
      <c r="N119" s="1">
        <v>116.327</v>
      </c>
      <c r="O119" s="1">
        <v>3.7290000000000001</v>
      </c>
      <c r="Q119" s="1">
        <v>116.22</v>
      </c>
      <c r="R119" s="1">
        <v>2.2765</v>
      </c>
      <c r="S119" s="6"/>
      <c r="T119" s="1">
        <v>116.191</v>
      </c>
      <c r="U119" s="1">
        <v>2.5165000000000002</v>
      </c>
      <c r="W119" s="1">
        <v>116.239</v>
      </c>
      <c r="X119" s="1">
        <v>2.1775000000000002</v>
      </c>
      <c r="Z119" s="1">
        <v>116.19799999999999</v>
      </c>
      <c r="AA119" s="1">
        <v>3.5649999999999999</v>
      </c>
      <c r="AB119" s="6"/>
      <c r="AC119" s="1">
        <v>116.209</v>
      </c>
      <c r="AD119" s="1">
        <v>1.373</v>
      </c>
      <c r="AF119" s="1">
        <v>116.258</v>
      </c>
      <c r="AG119" s="1">
        <v>1.7175</v>
      </c>
      <c r="AI119" s="1">
        <v>116.273</v>
      </c>
      <c r="AJ119" s="1">
        <v>-1.244</v>
      </c>
      <c r="AK119" s="6"/>
      <c r="AM119" s="1">
        <v>116.209</v>
      </c>
      <c r="AN119" s="1">
        <v>8.5370000000000008</v>
      </c>
      <c r="AP119" s="1">
        <v>116.18600000000001</v>
      </c>
      <c r="AQ119" s="1">
        <v>-4.2510000000000003</v>
      </c>
      <c r="AS119" s="1">
        <v>116.178</v>
      </c>
      <c r="AT119" s="1">
        <v>0.19900000000000001</v>
      </c>
    </row>
    <row r="120" spans="2:46" x14ac:dyDescent="0.2">
      <c r="B120" s="1">
        <v>117.41500000000001</v>
      </c>
      <c r="C120" s="1">
        <v>14.254</v>
      </c>
      <c r="E120" s="1">
        <v>117.26</v>
      </c>
      <c r="F120" s="1">
        <v>10.449</v>
      </c>
      <c r="H120" s="1">
        <v>117.307</v>
      </c>
      <c r="I120" s="1">
        <v>9.0634999999999994</v>
      </c>
      <c r="J120" s="6"/>
      <c r="K120" s="1">
        <v>117.18899999999999</v>
      </c>
      <c r="L120" s="1">
        <v>11.9285</v>
      </c>
      <c r="N120" s="1">
        <v>117.333</v>
      </c>
      <c r="O120" s="1">
        <v>3.6560000000000001</v>
      </c>
      <c r="Q120" s="1">
        <v>117.226</v>
      </c>
      <c r="R120" s="1">
        <v>2.2080000000000002</v>
      </c>
      <c r="S120" s="6"/>
      <c r="T120" s="1">
        <v>117.19799999999999</v>
      </c>
      <c r="U120" s="1">
        <v>2.4565000000000001</v>
      </c>
      <c r="W120" s="1">
        <v>117.244</v>
      </c>
      <c r="X120" s="1">
        <v>2.1320000000000001</v>
      </c>
      <c r="Z120" s="1">
        <v>117.203</v>
      </c>
      <c r="AA120" s="1">
        <v>3.5</v>
      </c>
      <c r="AB120" s="6"/>
      <c r="AC120" s="1">
        <v>117.214</v>
      </c>
      <c r="AD120" s="1">
        <v>1.2709999999999999</v>
      </c>
      <c r="AF120" s="1">
        <v>117.264</v>
      </c>
      <c r="AG120" s="1">
        <v>1.621</v>
      </c>
      <c r="AI120" s="1">
        <v>117.28</v>
      </c>
      <c r="AJ120" s="1">
        <v>-1.3035000000000001</v>
      </c>
      <c r="AK120" s="6"/>
      <c r="AM120" s="1">
        <v>117.21299999999999</v>
      </c>
      <c r="AN120" s="1">
        <v>8.4450000000000003</v>
      </c>
      <c r="AP120" s="1">
        <v>117.19199999999999</v>
      </c>
      <c r="AQ120" s="1">
        <v>-4.2394999999999996</v>
      </c>
      <c r="AS120" s="1">
        <v>117.18300000000001</v>
      </c>
      <c r="AT120" s="1">
        <v>0.107</v>
      </c>
    </row>
    <row r="121" spans="2:46" x14ac:dyDescent="0.2">
      <c r="B121" s="1">
        <v>118.42100000000001</v>
      </c>
      <c r="C121" s="1">
        <v>14.19</v>
      </c>
      <c r="E121" s="1">
        <v>118.265</v>
      </c>
      <c r="F121" s="1">
        <v>10.36</v>
      </c>
      <c r="H121" s="1">
        <v>118.31399999999999</v>
      </c>
      <c r="I121" s="1">
        <v>8.9785000000000004</v>
      </c>
      <c r="J121" s="6"/>
      <c r="K121" s="1">
        <v>118.196</v>
      </c>
      <c r="L121" s="1">
        <v>11.839</v>
      </c>
      <c r="N121" s="1">
        <v>118.337</v>
      </c>
      <c r="O121" s="1">
        <v>3.5859999999999999</v>
      </c>
      <c r="Q121" s="1">
        <v>118.235</v>
      </c>
      <c r="R121" s="1">
        <v>2.145</v>
      </c>
      <c r="S121" s="6"/>
      <c r="T121" s="1">
        <v>118.203</v>
      </c>
      <c r="U121" s="1">
        <v>2.395</v>
      </c>
      <c r="W121" s="1">
        <v>118.249</v>
      </c>
      <c r="X121" s="1">
        <v>2.073</v>
      </c>
      <c r="Z121" s="1">
        <v>118.208</v>
      </c>
      <c r="AA121" s="1">
        <v>3.4125000000000001</v>
      </c>
      <c r="AB121" s="6"/>
      <c r="AC121" s="1">
        <v>118.221</v>
      </c>
      <c r="AD121" s="1">
        <v>1.177</v>
      </c>
      <c r="AF121" s="1">
        <v>118.273</v>
      </c>
      <c r="AG121" s="1">
        <v>1.5285</v>
      </c>
      <c r="AI121" s="1">
        <v>118.288</v>
      </c>
      <c r="AJ121" s="1">
        <v>-1.3685</v>
      </c>
      <c r="AK121" s="6"/>
      <c r="AM121" s="1">
        <v>118.217</v>
      </c>
      <c r="AN121" s="1">
        <v>8.3614999999999995</v>
      </c>
      <c r="AP121" s="1">
        <v>118.197</v>
      </c>
      <c r="AQ121" s="1">
        <v>-4.2039999999999997</v>
      </c>
      <c r="AS121" s="1">
        <v>118.188</v>
      </c>
      <c r="AT121" s="1">
        <v>2.9499999999999998E-2</v>
      </c>
    </row>
    <row r="122" spans="2:46" x14ac:dyDescent="0.2">
      <c r="B122" s="1">
        <v>119.426</v>
      </c>
      <c r="C122" s="1">
        <v>14.132999999999999</v>
      </c>
      <c r="E122" s="1">
        <v>119.27200000000001</v>
      </c>
      <c r="F122" s="1">
        <v>10.271000000000001</v>
      </c>
      <c r="H122" s="1">
        <v>119.32</v>
      </c>
      <c r="I122" s="1">
        <v>8.8994999999999997</v>
      </c>
      <c r="J122" s="6"/>
      <c r="K122" s="1">
        <v>119.203</v>
      </c>
      <c r="L122" s="1">
        <v>11.749499999999999</v>
      </c>
      <c r="N122" s="1">
        <v>119.34399999999999</v>
      </c>
      <c r="O122" s="1">
        <v>3.5145</v>
      </c>
      <c r="Q122" s="1">
        <v>119.24</v>
      </c>
      <c r="R122" s="1">
        <v>2.089</v>
      </c>
      <c r="S122" s="6"/>
      <c r="T122" s="1">
        <v>119.209</v>
      </c>
      <c r="U122" s="1">
        <v>2.3235000000000001</v>
      </c>
      <c r="W122" s="1">
        <v>119.254</v>
      </c>
      <c r="X122" s="1">
        <v>2.0205000000000002</v>
      </c>
      <c r="Z122" s="1">
        <v>119.21299999999999</v>
      </c>
      <c r="AA122" s="1">
        <v>3.3359999999999999</v>
      </c>
      <c r="AB122" s="6"/>
      <c r="AC122" s="1">
        <v>119.22799999999999</v>
      </c>
      <c r="AD122" s="1">
        <v>1.0820000000000001</v>
      </c>
      <c r="AF122" s="1">
        <v>119.279</v>
      </c>
      <c r="AG122" s="1">
        <v>1.4415</v>
      </c>
      <c r="AI122" s="1">
        <v>119.294</v>
      </c>
      <c r="AJ122" s="1">
        <v>-1.4455</v>
      </c>
      <c r="AK122" s="6"/>
      <c r="AM122" s="1">
        <v>119.224</v>
      </c>
      <c r="AN122" s="1">
        <v>8.2680000000000007</v>
      </c>
      <c r="AP122" s="1">
        <v>119.20099999999999</v>
      </c>
      <c r="AQ122" s="1">
        <v>-4.157</v>
      </c>
      <c r="AS122" s="1">
        <v>119.196</v>
      </c>
      <c r="AT122" s="1">
        <v>-4.5999999999999999E-2</v>
      </c>
    </row>
    <row r="123" spans="2:46" x14ac:dyDescent="0.2">
      <c r="B123" s="1">
        <v>120.431</v>
      </c>
      <c r="C123" s="1">
        <v>14.0595</v>
      </c>
      <c r="E123" s="1">
        <v>120.279</v>
      </c>
      <c r="F123" s="1">
        <v>10.183</v>
      </c>
      <c r="H123" s="1">
        <v>120.327</v>
      </c>
      <c r="I123" s="1">
        <v>8.8179999999999996</v>
      </c>
      <c r="J123" s="6"/>
      <c r="K123" s="1">
        <v>120.209</v>
      </c>
      <c r="L123" s="1">
        <v>11.666499999999999</v>
      </c>
      <c r="N123" s="1">
        <v>120.346</v>
      </c>
      <c r="O123" s="1">
        <v>3.4344999999999999</v>
      </c>
      <c r="Q123" s="1">
        <v>120.245</v>
      </c>
      <c r="R123" s="1">
        <v>2.0245000000000002</v>
      </c>
      <c r="S123" s="6"/>
      <c r="T123" s="1">
        <v>120.214</v>
      </c>
      <c r="U123" s="1">
        <v>2.2559999999999998</v>
      </c>
      <c r="W123" s="1">
        <v>120.259</v>
      </c>
      <c r="X123" s="1">
        <v>1.9684999999999999</v>
      </c>
      <c r="Z123" s="1">
        <v>120.218</v>
      </c>
      <c r="AA123" s="1">
        <v>3.2555000000000001</v>
      </c>
      <c r="AB123" s="6"/>
      <c r="AC123" s="1">
        <v>120.236</v>
      </c>
      <c r="AD123" s="1">
        <v>0.99199999999999999</v>
      </c>
      <c r="AF123" s="1">
        <v>120.283</v>
      </c>
      <c r="AG123" s="1">
        <v>1.341</v>
      </c>
      <c r="AI123" s="1">
        <v>120.3</v>
      </c>
      <c r="AJ123" s="1">
        <v>-1.5069999999999999</v>
      </c>
      <c r="AK123" s="6"/>
      <c r="AM123" s="1">
        <v>120.23099999999999</v>
      </c>
      <c r="AN123" s="1">
        <v>8.1739999999999995</v>
      </c>
      <c r="AP123" s="1">
        <v>120.20699999999999</v>
      </c>
      <c r="AQ123" s="1">
        <v>-4.0904999999999996</v>
      </c>
      <c r="AS123" s="1">
        <v>120.203</v>
      </c>
      <c r="AT123" s="1">
        <v>-0.126</v>
      </c>
    </row>
    <row r="124" spans="2:46" x14ac:dyDescent="0.2">
      <c r="B124" s="1">
        <v>121.437</v>
      </c>
      <c r="C124" s="1">
        <v>13.994999999999999</v>
      </c>
      <c r="E124" s="1">
        <v>121.28400000000001</v>
      </c>
      <c r="F124" s="1">
        <v>10.105499999999999</v>
      </c>
      <c r="H124" s="1">
        <v>121.331</v>
      </c>
      <c r="I124" s="1">
        <v>8.7405000000000008</v>
      </c>
      <c r="J124" s="6"/>
      <c r="K124" s="1">
        <v>121.214</v>
      </c>
      <c r="L124" s="1">
        <v>11.573</v>
      </c>
      <c r="N124" s="1">
        <v>121.351</v>
      </c>
      <c r="O124" s="1">
        <v>3.3580000000000001</v>
      </c>
      <c r="Q124" s="1">
        <v>121.252</v>
      </c>
      <c r="R124" s="1">
        <v>1.9655</v>
      </c>
      <c r="S124" s="6"/>
      <c r="T124" s="1">
        <v>121.218</v>
      </c>
      <c r="U124" s="1">
        <v>2.2029999999999998</v>
      </c>
      <c r="W124" s="1">
        <v>121.26600000000001</v>
      </c>
      <c r="X124" s="1">
        <v>1.9155</v>
      </c>
      <c r="Z124" s="1">
        <v>121.223</v>
      </c>
      <c r="AA124" s="1">
        <v>3.1709999999999998</v>
      </c>
      <c r="AB124" s="6"/>
      <c r="AC124" s="1">
        <v>121.24</v>
      </c>
      <c r="AD124" s="1">
        <v>0.90100000000000002</v>
      </c>
      <c r="AF124" s="1">
        <v>121.288</v>
      </c>
      <c r="AG124" s="1">
        <v>1.2355</v>
      </c>
      <c r="AI124" s="1">
        <v>121.304</v>
      </c>
      <c r="AJ124" s="1">
        <v>-1.5760000000000001</v>
      </c>
      <c r="AK124" s="6"/>
      <c r="AM124" s="1">
        <v>121.238</v>
      </c>
      <c r="AN124" s="1">
        <v>8.0875000000000004</v>
      </c>
      <c r="AP124" s="1">
        <v>121.211</v>
      </c>
      <c r="AQ124" s="1">
        <v>-4.0345000000000004</v>
      </c>
      <c r="AS124" s="1">
        <v>121.209</v>
      </c>
      <c r="AT124" s="1">
        <v>-0.2</v>
      </c>
    </row>
    <row r="125" spans="2:46" x14ac:dyDescent="0.2">
      <c r="B125" s="1">
        <v>122.44499999999999</v>
      </c>
      <c r="C125" s="1">
        <v>13.929500000000001</v>
      </c>
      <c r="E125" s="1">
        <v>122.291</v>
      </c>
      <c r="F125" s="1">
        <v>10.0205</v>
      </c>
      <c r="H125" s="1">
        <v>122.33799999999999</v>
      </c>
      <c r="I125" s="1">
        <v>8.6684999999999999</v>
      </c>
      <c r="J125" s="6"/>
      <c r="K125" s="1">
        <v>122.22</v>
      </c>
      <c r="L125" s="1">
        <v>11.484</v>
      </c>
      <c r="N125" s="1">
        <v>122.35899999999999</v>
      </c>
      <c r="O125" s="1">
        <v>3.2894999999999999</v>
      </c>
      <c r="Q125" s="1">
        <v>122.259</v>
      </c>
      <c r="R125" s="1">
        <v>1.9015</v>
      </c>
      <c r="S125" s="6"/>
      <c r="T125" s="1">
        <v>122.224</v>
      </c>
      <c r="U125" s="1">
        <v>2.1335000000000002</v>
      </c>
      <c r="W125" s="1">
        <v>122.273</v>
      </c>
      <c r="X125" s="1">
        <v>1.8505</v>
      </c>
      <c r="Z125" s="1">
        <v>122.23</v>
      </c>
      <c r="AA125" s="1">
        <v>3.0979999999999999</v>
      </c>
      <c r="AB125" s="6"/>
      <c r="AC125" s="1">
        <v>122.246</v>
      </c>
      <c r="AD125" s="1">
        <v>0.8</v>
      </c>
      <c r="AF125" s="1">
        <v>122.29300000000001</v>
      </c>
      <c r="AG125" s="1">
        <v>1.147</v>
      </c>
      <c r="AI125" s="1">
        <v>122.312</v>
      </c>
      <c r="AJ125" s="1">
        <v>-1.6495</v>
      </c>
      <c r="AK125" s="6"/>
      <c r="AM125" s="1">
        <v>122.24299999999999</v>
      </c>
      <c r="AN125" s="1">
        <v>8.0054999999999996</v>
      </c>
      <c r="AP125" s="1">
        <v>122.217</v>
      </c>
      <c r="AQ125" s="1">
        <v>-3.9710000000000001</v>
      </c>
      <c r="AS125" s="1">
        <v>122.215</v>
      </c>
      <c r="AT125" s="1">
        <v>-0.28050000000000003</v>
      </c>
    </row>
    <row r="126" spans="2:46" x14ac:dyDescent="0.2">
      <c r="B126" s="1">
        <v>123.452</v>
      </c>
      <c r="C126" s="1">
        <v>13.8645</v>
      </c>
      <c r="E126" s="1">
        <v>123.298</v>
      </c>
      <c r="F126" s="1">
        <v>9.9245000000000001</v>
      </c>
      <c r="H126" s="1">
        <v>123.34399999999999</v>
      </c>
      <c r="I126" s="1">
        <v>8.5884999999999998</v>
      </c>
      <c r="J126" s="6"/>
      <c r="K126" s="1">
        <v>123.22499999999999</v>
      </c>
      <c r="L126" s="1">
        <v>11.398999999999999</v>
      </c>
      <c r="N126" s="1">
        <v>123.363</v>
      </c>
      <c r="O126" s="1">
        <v>3.2174999999999998</v>
      </c>
      <c r="Q126" s="1">
        <v>123.265</v>
      </c>
      <c r="R126" s="1">
        <v>1.8405</v>
      </c>
      <c r="S126" s="6"/>
      <c r="T126" s="1">
        <v>123.227</v>
      </c>
      <c r="U126" s="1">
        <v>2.0680000000000001</v>
      </c>
      <c r="W126" s="1">
        <v>123.27800000000001</v>
      </c>
      <c r="X126" s="1">
        <v>1.8035000000000001</v>
      </c>
      <c r="Z126" s="1">
        <v>123.239</v>
      </c>
      <c r="AA126" s="1">
        <v>3.0215000000000001</v>
      </c>
      <c r="AB126" s="6"/>
      <c r="AC126" s="1">
        <v>123.254</v>
      </c>
      <c r="AD126" s="1">
        <v>0.70299999999999996</v>
      </c>
      <c r="AF126" s="1">
        <v>123.29900000000001</v>
      </c>
      <c r="AG126" s="1">
        <v>1.054</v>
      </c>
      <c r="AI126" s="1">
        <v>123.31699999999999</v>
      </c>
      <c r="AJ126" s="1">
        <v>-1.7135</v>
      </c>
      <c r="AK126" s="6"/>
      <c r="AM126" s="1">
        <v>123.249</v>
      </c>
      <c r="AN126" s="1">
        <v>7.9154999999999998</v>
      </c>
      <c r="AP126" s="1">
        <v>123.22199999999999</v>
      </c>
      <c r="AQ126" s="1">
        <v>-3.9195000000000002</v>
      </c>
      <c r="AS126" s="1">
        <v>123.21899999999999</v>
      </c>
      <c r="AT126" s="1">
        <v>-0.36149999999999999</v>
      </c>
    </row>
    <row r="127" spans="2:46" x14ac:dyDescent="0.2">
      <c r="B127" s="1">
        <v>124.458</v>
      </c>
      <c r="C127" s="1">
        <v>13.795</v>
      </c>
      <c r="E127" s="1">
        <v>124.307</v>
      </c>
      <c r="F127" s="1">
        <v>9.8369999999999997</v>
      </c>
      <c r="H127" s="1">
        <v>124.35</v>
      </c>
      <c r="I127" s="1">
        <v>8.5024999999999995</v>
      </c>
      <c r="J127" s="6"/>
      <c r="K127" s="1">
        <v>124.23099999999999</v>
      </c>
      <c r="L127" s="1">
        <v>11.3035</v>
      </c>
      <c r="N127" s="1">
        <v>124.36799999999999</v>
      </c>
      <c r="O127" s="1">
        <v>3.1469999999999998</v>
      </c>
      <c r="Q127" s="1">
        <v>124.26900000000001</v>
      </c>
      <c r="R127" s="1">
        <v>1.7789999999999999</v>
      </c>
      <c r="S127" s="6"/>
      <c r="T127" s="1">
        <v>124.235</v>
      </c>
      <c r="U127" s="1">
        <v>1.9950000000000001</v>
      </c>
      <c r="W127" s="1">
        <v>124.283</v>
      </c>
      <c r="X127" s="1">
        <v>1.7535000000000001</v>
      </c>
      <c r="Z127" s="1">
        <v>124.244</v>
      </c>
      <c r="AA127" s="1">
        <v>2.948</v>
      </c>
      <c r="AB127" s="6"/>
      <c r="AC127" s="1">
        <v>124.261</v>
      </c>
      <c r="AD127" s="1">
        <v>0.60850000000000004</v>
      </c>
      <c r="AF127" s="1">
        <v>124.30200000000001</v>
      </c>
      <c r="AG127" s="1">
        <v>0.96099999999999997</v>
      </c>
      <c r="AI127" s="1">
        <v>124.322</v>
      </c>
      <c r="AJ127" s="1">
        <v>-1.772</v>
      </c>
      <c r="AK127" s="6"/>
      <c r="AM127" s="1">
        <v>124.255</v>
      </c>
      <c r="AN127" s="1">
        <v>7.8179999999999996</v>
      </c>
      <c r="AP127" s="1">
        <v>124.227</v>
      </c>
      <c r="AQ127" s="1">
        <v>-3.87</v>
      </c>
      <c r="AS127" s="1">
        <v>124.22499999999999</v>
      </c>
      <c r="AT127" s="1">
        <v>-0.443</v>
      </c>
    </row>
    <row r="128" spans="2:46" x14ac:dyDescent="0.2">
      <c r="B128" s="1">
        <v>125.461</v>
      </c>
      <c r="C128" s="1">
        <v>13.7315</v>
      </c>
      <c r="E128" s="1">
        <v>125.313</v>
      </c>
      <c r="F128" s="1">
        <v>9.7590000000000003</v>
      </c>
      <c r="H128" s="1">
        <v>125.358</v>
      </c>
      <c r="I128" s="1">
        <v>8.4239999999999995</v>
      </c>
      <c r="J128" s="6"/>
      <c r="K128" s="1">
        <v>125.236</v>
      </c>
      <c r="L128" s="1">
        <v>11.208500000000001</v>
      </c>
      <c r="N128" s="1">
        <v>125.373</v>
      </c>
      <c r="O128" s="1">
        <v>3.069</v>
      </c>
      <c r="Q128" s="1">
        <v>125.27500000000001</v>
      </c>
      <c r="R128" s="1">
        <v>1.716</v>
      </c>
      <c r="S128" s="6"/>
      <c r="T128" s="1">
        <v>125.242</v>
      </c>
      <c r="U128" s="1">
        <v>1.9239999999999999</v>
      </c>
      <c r="W128" s="1">
        <v>125.286</v>
      </c>
      <c r="X128" s="1">
        <v>1.6950000000000001</v>
      </c>
      <c r="Z128" s="1">
        <v>125.247</v>
      </c>
      <c r="AA128" s="1">
        <v>2.8725000000000001</v>
      </c>
      <c r="AB128" s="6"/>
      <c r="AC128" s="1">
        <v>125.26900000000001</v>
      </c>
      <c r="AD128" s="1">
        <v>0.50900000000000001</v>
      </c>
      <c r="AF128" s="1">
        <v>125.30800000000001</v>
      </c>
      <c r="AG128" s="1">
        <v>0.85950000000000004</v>
      </c>
      <c r="AI128" s="1">
        <v>125.32599999999999</v>
      </c>
      <c r="AJ128" s="1">
        <v>-1.831</v>
      </c>
      <c r="AK128" s="6"/>
      <c r="AM128" s="1">
        <v>125.259</v>
      </c>
      <c r="AN128" s="1">
        <v>7.7335000000000003</v>
      </c>
      <c r="AP128" s="1">
        <v>125.235</v>
      </c>
      <c r="AQ128" s="1">
        <v>-3.823</v>
      </c>
      <c r="AS128" s="1">
        <v>125.229</v>
      </c>
      <c r="AT128" s="1">
        <v>-0.52400000000000002</v>
      </c>
    </row>
    <row r="129" spans="2:46" x14ac:dyDescent="0.2">
      <c r="B129" s="1">
        <v>126.46599999999999</v>
      </c>
      <c r="C129" s="1">
        <v>13.664999999999999</v>
      </c>
      <c r="E129" s="1">
        <v>126.316</v>
      </c>
      <c r="F129" s="1">
        <v>9.6694999999999993</v>
      </c>
      <c r="H129" s="1">
        <v>126.36499999999999</v>
      </c>
      <c r="I129" s="1">
        <v>8.3435000000000006</v>
      </c>
      <c r="J129" s="6"/>
      <c r="K129" s="1">
        <v>126.241</v>
      </c>
      <c r="L129" s="1">
        <v>11.1135</v>
      </c>
      <c r="N129" s="1">
        <v>126.379</v>
      </c>
      <c r="O129" s="1">
        <v>2.9860000000000002</v>
      </c>
      <c r="Q129" s="1">
        <v>126.279</v>
      </c>
      <c r="R129" s="1">
        <v>1.6485000000000001</v>
      </c>
      <c r="S129" s="6"/>
      <c r="T129" s="1">
        <v>126.244</v>
      </c>
      <c r="U129" s="1">
        <v>1.857</v>
      </c>
      <c r="W129" s="1">
        <v>126.292</v>
      </c>
      <c r="X129" s="1">
        <v>1.6465000000000001</v>
      </c>
      <c r="Z129" s="1">
        <v>126.25</v>
      </c>
      <c r="AA129" s="1">
        <v>2.7934999999999999</v>
      </c>
      <c r="AB129" s="6"/>
      <c r="AC129" s="1">
        <v>126.274</v>
      </c>
      <c r="AD129" s="1">
        <v>0.41299999999999998</v>
      </c>
      <c r="AF129" s="1">
        <v>126.316</v>
      </c>
      <c r="AG129" s="1">
        <v>0.74950000000000006</v>
      </c>
      <c r="AI129" s="1">
        <v>126.333</v>
      </c>
      <c r="AJ129" s="1">
        <v>-1.8955</v>
      </c>
      <c r="AK129" s="6"/>
      <c r="AM129" s="1">
        <v>126.265</v>
      </c>
      <c r="AN129" s="1">
        <v>7.6444999999999999</v>
      </c>
      <c r="AP129" s="1">
        <v>126.24</v>
      </c>
      <c r="AQ129" s="1">
        <v>-3.798</v>
      </c>
      <c r="AS129" s="1">
        <v>126.236</v>
      </c>
      <c r="AT129" s="1">
        <v>-0.59499999999999997</v>
      </c>
    </row>
    <row r="130" spans="2:46" x14ac:dyDescent="0.2">
      <c r="B130" s="1">
        <v>127.471</v>
      </c>
      <c r="C130" s="1">
        <v>13.5975</v>
      </c>
      <c r="E130" s="1">
        <v>127.32299999999999</v>
      </c>
      <c r="F130" s="1">
        <v>9.593</v>
      </c>
      <c r="H130" s="1">
        <v>127.372</v>
      </c>
      <c r="I130" s="1">
        <v>8.2594999999999992</v>
      </c>
      <c r="J130" s="6"/>
      <c r="K130" s="1">
        <v>127.247</v>
      </c>
      <c r="L130" s="1">
        <v>11.019</v>
      </c>
      <c r="N130" s="1">
        <v>127.384</v>
      </c>
      <c r="O130" s="1">
        <v>2.9155000000000002</v>
      </c>
      <c r="Q130" s="1">
        <v>127.28700000000001</v>
      </c>
      <c r="R130" s="1">
        <v>1.579</v>
      </c>
      <c r="S130" s="6"/>
      <c r="T130" s="1">
        <v>127.246</v>
      </c>
      <c r="U130" s="1">
        <v>1.8</v>
      </c>
      <c r="W130" s="1">
        <v>127.297</v>
      </c>
      <c r="X130" s="1">
        <v>1.5914999999999999</v>
      </c>
      <c r="Z130" s="1">
        <v>127.255</v>
      </c>
      <c r="AA130" s="1">
        <v>2.722</v>
      </c>
      <c r="AB130" s="6"/>
      <c r="AC130" s="1">
        <v>127.279</v>
      </c>
      <c r="AD130" s="1">
        <v>0.31850000000000001</v>
      </c>
      <c r="AF130" s="1">
        <v>127.325</v>
      </c>
      <c r="AG130" s="1">
        <v>0.65549999999999997</v>
      </c>
      <c r="AI130" s="1">
        <v>127.34</v>
      </c>
      <c r="AJ130" s="1">
        <v>-1.9644999999999999</v>
      </c>
      <c r="AK130" s="6"/>
      <c r="AM130" s="1">
        <v>127.26900000000001</v>
      </c>
      <c r="AN130" s="1">
        <v>7.56</v>
      </c>
      <c r="AP130" s="1">
        <v>127.246</v>
      </c>
      <c r="AQ130" s="1">
        <v>-3.78</v>
      </c>
      <c r="AS130" s="1">
        <v>127.24299999999999</v>
      </c>
      <c r="AT130" s="1">
        <v>-0.67800000000000005</v>
      </c>
    </row>
    <row r="131" spans="2:46" x14ac:dyDescent="0.2">
      <c r="B131" s="1">
        <v>128.476</v>
      </c>
      <c r="C131" s="1">
        <v>13.535500000000001</v>
      </c>
      <c r="E131" s="1">
        <v>128.33099999999999</v>
      </c>
      <c r="F131" s="1">
        <v>9.5060000000000002</v>
      </c>
      <c r="H131" s="1">
        <v>128.37899999999999</v>
      </c>
      <c r="I131" s="1">
        <v>8.1809999999999992</v>
      </c>
      <c r="J131" s="6"/>
      <c r="K131" s="1">
        <v>128.251</v>
      </c>
      <c r="L131" s="1">
        <v>10.93</v>
      </c>
      <c r="N131" s="1">
        <v>128.38800000000001</v>
      </c>
      <c r="O131" s="1">
        <v>2.8420000000000001</v>
      </c>
      <c r="Q131" s="1">
        <v>128.291</v>
      </c>
      <c r="R131" s="1">
        <v>1.5255000000000001</v>
      </c>
      <c r="S131" s="6"/>
      <c r="T131" s="1">
        <v>128.25299999999999</v>
      </c>
      <c r="U131" s="1">
        <v>1.7304999999999999</v>
      </c>
      <c r="W131" s="1">
        <v>128.304</v>
      </c>
      <c r="X131" s="1">
        <v>1.5425</v>
      </c>
      <c r="Z131" s="1">
        <v>128.262</v>
      </c>
      <c r="AA131" s="1">
        <v>2.6495000000000002</v>
      </c>
      <c r="AB131" s="6"/>
      <c r="AC131" s="1">
        <v>128.285</v>
      </c>
      <c r="AD131" s="1">
        <v>0.215</v>
      </c>
      <c r="AF131" s="1">
        <v>128.33199999999999</v>
      </c>
      <c r="AG131" s="1">
        <v>0.56950000000000001</v>
      </c>
      <c r="AI131" s="1">
        <v>128.346</v>
      </c>
      <c r="AJ131" s="1">
        <v>-2.016</v>
      </c>
      <c r="AK131" s="6"/>
      <c r="AM131" s="1">
        <v>128.27500000000001</v>
      </c>
      <c r="AN131" s="1">
        <v>7.4744999999999999</v>
      </c>
      <c r="AP131" s="1">
        <v>128.25200000000001</v>
      </c>
      <c r="AQ131" s="1">
        <v>-3.7625000000000002</v>
      </c>
      <c r="AS131" s="1">
        <v>128.24799999999999</v>
      </c>
      <c r="AT131" s="1">
        <v>-0.75</v>
      </c>
    </row>
    <row r="132" spans="2:46" x14ac:dyDescent="0.2">
      <c r="B132" s="1">
        <v>129.47999999999999</v>
      </c>
      <c r="C132" s="1">
        <v>13.481999999999999</v>
      </c>
      <c r="E132" s="1">
        <v>129.33500000000001</v>
      </c>
      <c r="F132" s="1">
        <v>9.42</v>
      </c>
      <c r="H132" s="1">
        <v>129.38399999999999</v>
      </c>
      <c r="I132" s="1">
        <v>8.0990000000000002</v>
      </c>
      <c r="J132" s="6"/>
      <c r="K132" s="1">
        <v>129.25800000000001</v>
      </c>
      <c r="L132" s="1">
        <v>10.839499999999999</v>
      </c>
      <c r="N132" s="1">
        <v>129.39400000000001</v>
      </c>
      <c r="O132" s="1">
        <v>2.7675000000000001</v>
      </c>
      <c r="Q132" s="1">
        <v>129.29499999999999</v>
      </c>
      <c r="R132" s="1">
        <v>1.466</v>
      </c>
      <c r="S132" s="6"/>
      <c r="T132" s="1">
        <v>129.261</v>
      </c>
      <c r="U132" s="1">
        <v>1.6615</v>
      </c>
      <c r="W132" s="1">
        <v>129.309</v>
      </c>
      <c r="X132" s="1">
        <v>1.492</v>
      </c>
      <c r="Z132" s="1">
        <v>129.268</v>
      </c>
      <c r="AA132" s="1">
        <v>2.5739999999999998</v>
      </c>
      <c r="AB132" s="6"/>
      <c r="AC132" s="1">
        <v>129.29</v>
      </c>
      <c r="AD132" s="1">
        <v>0.1085</v>
      </c>
      <c r="AF132" s="1">
        <v>129.339</v>
      </c>
      <c r="AG132" s="1">
        <v>0.47699999999999998</v>
      </c>
      <c r="AI132" s="1">
        <v>129.34899999999999</v>
      </c>
      <c r="AJ132" s="1">
        <v>-2.0720000000000001</v>
      </c>
      <c r="AK132" s="6"/>
      <c r="AM132" s="1">
        <v>129.28</v>
      </c>
      <c r="AN132" s="1">
        <v>7.3849999999999998</v>
      </c>
      <c r="AP132" s="1">
        <v>129.256</v>
      </c>
      <c r="AQ132" s="1">
        <v>-3.7635000000000001</v>
      </c>
      <c r="AS132" s="1">
        <v>129.25700000000001</v>
      </c>
      <c r="AT132" s="1">
        <v>-0.83150000000000002</v>
      </c>
    </row>
    <row r="133" spans="2:46" x14ac:dyDescent="0.2">
      <c r="B133" s="1">
        <v>130.48599999999999</v>
      </c>
      <c r="C133" s="1">
        <v>13.4095</v>
      </c>
      <c r="E133" s="1">
        <v>130.34299999999999</v>
      </c>
      <c r="F133" s="1">
        <v>9.3335000000000008</v>
      </c>
      <c r="H133" s="1">
        <v>130.38999999999999</v>
      </c>
      <c r="I133" s="1">
        <v>8.0250000000000004</v>
      </c>
      <c r="J133" s="6"/>
      <c r="K133" s="1">
        <v>130.26400000000001</v>
      </c>
      <c r="L133" s="1">
        <v>10.75</v>
      </c>
      <c r="N133" s="1">
        <v>130.399</v>
      </c>
      <c r="O133" s="1">
        <v>2.7</v>
      </c>
      <c r="Q133" s="1">
        <v>130.30099999999999</v>
      </c>
      <c r="R133" s="1">
        <v>1.4119999999999999</v>
      </c>
      <c r="S133" s="6"/>
      <c r="T133" s="1">
        <v>130.267</v>
      </c>
      <c r="U133" s="1">
        <v>1.5965</v>
      </c>
      <c r="W133" s="1">
        <v>130.316</v>
      </c>
      <c r="X133" s="1">
        <v>1.44</v>
      </c>
      <c r="Z133" s="1">
        <v>130.273</v>
      </c>
      <c r="AA133" s="1">
        <v>2.4984999999999999</v>
      </c>
      <c r="AB133" s="6"/>
      <c r="AC133" s="1">
        <v>130.298</v>
      </c>
      <c r="AD133" s="1">
        <v>1.7999999999999999E-2</v>
      </c>
      <c r="AF133" s="1">
        <v>130.34700000000001</v>
      </c>
      <c r="AG133" s="1">
        <v>0.38650000000000001</v>
      </c>
      <c r="AI133" s="1">
        <v>130.35400000000001</v>
      </c>
      <c r="AJ133" s="1">
        <v>-2.1335000000000002</v>
      </c>
      <c r="AK133" s="6"/>
      <c r="AM133" s="1">
        <v>130.285</v>
      </c>
      <c r="AN133" s="1">
        <v>7.2945000000000002</v>
      </c>
      <c r="AP133" s="1">
        <v>130.262</v>
      </c>
      <c r="AQ133" s="1">
        <v>-3.7524999999999999</v>
      </c>
      <c r="AS133" s="1">
        <v>130.26400000000001</v>
      </c>
      <c r="AT133" s="1">
        <v>-0.91249999999999998</v>
      </c>
    </row>
    <row r="134" spans="2:46" x14ac:dyDescent="0.2">
      <c r="B134" s="1">
        <v>131.494</v>
      </c>
      <c r="C134" s="1">
        <v>13.3485</v>
      </c>
      <c r="E134" s="1">
        <v>131.35300000000001</v>
      </c>
      <c r="F134" s="1">
        <v>9.2554999999999996</v>
      </c>
      <c r="H134" s="1">
        <v>131.393</v>
      </c>
      <c r="I134" s="1">
        <v>7.9470000000000001</v>
      </c>
      <c r="J134" s="6"/>
      <c r="K134" s="1">
        <v>131.27000000000001</v>
      </c>
      <c r="L134" s="1">
        <v>10.661</v>
      </c>
      <c r="N134" s="1">
        <v>131.405</v>
      </c>
      <c r="O134" s="1">
        <v>2.6215000000000002</v>
      </c>
      <c r="Q134" s="1">
        <v>131.309</v>
      </c>
      <c r="R134" s="1">
        <v>1.347</v>
      </c>
      <c r="S134" s="6"/>
      <c r="T134" s="1">
        <v>131.273</v>
      </c>
      <c r="U134" s="1">
        <v>1.5375000000000001</v>
      </c>
      <c r="W134" s="1">
        <v>131.32300000000001</v>
      </c>
      <c r="X134" s="1">
        <v>1.3819999999999999</v>
      </c>
      <c r="Z134" s="1">
        <v>131.27799999999999</v>
      </c>
      <c r="AA134" s="1">
        <v>2.4340000000000002</v>
      </c>
      <c r="AB134" s="6"/>
      <c r="AC134" s="1">
        <v>131.30600000000001</v>
      </c>
      <c r="AD134" s="1">
        <v>-7.0000000000000007E-2</v>
      </c>
      <c r="AF134" s="1">
        <v>131.35400000000001</v>
      </c>
      <c r="AG134" s="1">
        <v>0.29399999999999998</v>
      </c>
      <c r="AI134" s="1">
        <v>131.364</v>
      </c>
      <c r="AJ134" s="1">
        <v>-2.1915</v>
      </c>
      <c r="AK134" s="6"/>
      <c r="AM134" s="1">
        <v>131.29</v>
      </c>
      <c r="AN134" s="1">
        <v>7.218</v>
      </c>
      <c r="AP134" s="1">
        <v>131.26900000000001</v>
      </c>
      <c r="AQ134" s="1">
        <v>-3.7559999999999998</v>
      </c>
      <c r="AS134" s="1">
        <v>131.273</v>
      </c>
      <c r="AT134" s="1">
        <v>-0.995</v>
      </c>
    </row>
    <row r="135" spans="2:46" x14ac:dyDescent="0.2">
      <c r="B135" s="1">
        <v>132.5</v>
      </c>
      <c r="C135" s="1">
        <v>13.273</v>
      </c>
      <c r="E135" s="1">
        <v>132.358</v>
      </c>
      <c r="F135" s="1">
        <v>9.1645000000000003</v>
      </c>
      <c r="H135" s="1">
        <v>132.399</v>
      </c>
      <c r="I135" s="1">
        <v>7.867</v>
      </c>
      <c r="J135" s="6"/>
      <c r="K135" s="1">
        <v>132.27699999999999</v>
      </c>
      <c r="L135" s="1">
        <v>10.567500000000001</v>
      </c>
      <c r="N135" s="1">
        <v>132.40899999999999</v>
      </c>
      <c r="O135" s="1">
        <v>2.5539999999999998</v>
      </c>
      <c r="Q135" s="1">
        <v>132.315</v>
      </c>
      <c r="R135" s="1">
        <v>1.282</v>
      </c>
      <c r="S135" s="6"/>
      <c r="T135" s="1">
        <v>132.27799999999999</v>
      </c>
      <c r="U135" s="1">
        <v>1.4770000000000001</v>
      </c>
      <c r="W135" s="1">
        <v>132.32599999999999</v>
      </c>
      <c r="X135" s="1">
        <v>1.3280000000000001</v>
      </c>
      <c r="Z135" s="1">
        <v>132.28299999999999</v>
      </c>
      <c r="AA135" s="1">
        <v>2.36</v>
      </c>
      <c r="AB135" s="6"/>
      <c r="AC135" s="1">
        <v>132.31299999999999</v>
      </c>
      <c r="AD135" s="1">
        <v>-0.16500000000000001</v>
      </c>
      <c r="AF135" s="1">
        <v>132.35900000000001</v>
      </c>
      <c r="AG135" s="1">
        <v>0.20449999999999999</v>
      </c>
      <c r="AI135" s="1">
        <v>132.37100000000001</v>
      </c>
      <c r="AJ135" s="1">
        <v>-2.2465000000000002</v>
      </c>
      <c r="AK135" s="6"/>
      <c r="AM135" s="1">
        <v>132.29599999999999</v>
      </c>
      <c r="AN135" s="1">
        <v>7.1204999999999998</v>
      </c>
      <c r="AP135" s="1">
        <v>132.27699999999999</v>
      </c>
      <c r="AQ135" s="1">
        <v>-3.7480000000000002</v>
      </c>
      <c r="AS135" s="1">
        <v>132.27699999999999</v>
      </c>
      <c r="AT135" s="1">
        <v>-1.0745</v>
      </c>
    </row>
    <row r="136" spans="2:46" x14ac:dyDescent="0.2">
      <c r="B136" s="1">
        <v>133.506</v>
      </c>
      <c r="C136" s="1">
        <v>13.221</v>
      </c>
      <c r="E136" s="1">
        <v>133.36600000000001</v>
      </c>
      <c r="F136" s="1">
        <v>9.0824999999999996</v>
      </c>
      <c r="H136" s="1">
        <v>133.40299999999999</v>
      </c>
      <c r="I136" s="1">
        <v>7.7880000000000003</v>
      </c>
      <c r="J136" s="6"/>
      <c r="K136" s="1">
        <v>133.28399999999999</v>
      </c>
      <c r="L136" s="1">
        <v>10.48</v>
      </c>
      <c r="N136" s="1">
        <v>133.41300000000001</v>
      </c>
      <c r="O136" s="1">
        <v>2.4820000000000002</v>
      </c>
      <c r="Q136" s="1">
        <v>133.32</v>
      </c>
      <c r="R136" s="1">
        <v>1.2275</v>
      </c>
      <c r="S136" s="6"/>
      <c r="T136" s="1">
        <v>133.28399999999999</v>
      </c>
      <c r="U136" s="1">
        <v>1.411</v>
      </c>
      <c r="W136" s="1">
        <v>133.33199999999999</v>
      </c>
      <c r="X136" s="1">
        <v>1.2785</v>
      </c>
      <c r="Z136" s="1">
        <v>133.29300000000001</v>
      </c>
      <c r="AA136" s="1">
        <v>2.2934999999999999</v>
      </c>
      <c r="AB136" s="6"/>
      <c r="AC136" s="1">
        <v>133.31899999999999</v>
      </c>
      <c r="AD136" s="1">
        <v>-0.25600000000000001</v>
      </c>
      <c r="AF136" s="1">
        <v>133.36199999999999</v>
      </c>
      <c r="AG136" s="1">
        <v>0.1115</v>
      </c>
      <c r="AI136" s="1">
        <v>133.376</v>
      </c>
      <c r="AJ136" s="1">
        <v>-2.3050000000000002</v>
      </c>
      <c r="AK136" s="6"/>
      <c r="AM136" s="1">
        <v>133.304</v>
      </c>
      <c r="AN136" s="1">
        <v>7.0369999999999999</v>
      </c>
      <c r="AP136" s="1">
        <v>133.28100000000001</v>
      </c>
      <c r="AQ136" s="1">
        <v>-3.7490000000000001</v>
      </c>
      <c r="AS136" s="1">
        <v>133.28100000000001</v>
      </c>
      <c r="AT136" s="1">
        <v>-1.1579999999999999</v>
      </c>
    </row>
    <row r="137" spans="2:46" x14ac:dyDescent="0.2">
      <c r="B137" s="1">
        <v>134.51</v>
      </c>
      <c r="C137" s="1">
        <v>13.15</v>
      </c>
      <c r="E137" s="1">
        <v>134.37299999999999</v>
      </c>
      <c r="F137" s="1">
        <v>9.0020000000000007</v>
      </c>
      <c r="H137" s="1">
        <v>134.40899999999999</v>
      </c>
      <c r="I137" s="1">
        <v>7.7095000000000002</v>
      </c>
      <c r="J137" s="6"/>
      <c r="K137" s="1">
        <v>134.291</v>
      </c>
      <c r="L137" s="1">
        <v>10.391</v>
      </c>
      <c r="N137" s="1">
        <v>134.41800000000001</v>
      </c>
      <c r="O137" s="1">
        <v>2.4184999999999999</v>
      </c>
      <c r="Q137" s="1">
        <v>134.32499999999999</v>
      </c>
      <c r="R137" s="1">
        <v>1.1615</v>
      </c>
      <c r="S137" s="6"/>
      <c r="T137" s="1">
        <v>134.29300000000001</v>
      </c>
      <c r="U137" s="1">
        <v>1.3360000000000001</v>
      </c>
      <c r="W137" s="1">
        <v>134.33699999999999</v>
      </c>
      <c r="X137" s="1">
        <v>1.224</v>
      </c>
      <c r="Z137" s="1">
        <v>134.30099999999999</v>
      </c>
      <c r="AA137" s="1">
        <v>2.2145000000000001</v>
      </c>
      <c r="AB137" s="6"/>
      <c r="AC137" s="1">
        <v>134.32400000000001</v>
      </c>
      <c r="AD137" s="1">
        <v>-0.35849999999999999</v>
      </c>
      <c r="AF137" s="1">
        <v>134.37299999999999</v>
      </c>
      <c r="AG137" s="1">
        <v>2.1999999999999999E-2</v>
      </c>
      <c r="AI137" s="1">
        <v>134.386</v>
      </c>
      <c r="AJ137" s="1">
        <v>-2.3540000000000001</v>
      </c>
      <c r="AK137" s="6"/>
      <c r="AM137" s="1">
        <v>134.309</v>
      </c>
      <c r="AN137" s="1">
        <v>6.9465000000000003</v>
      </c>
      <c r="AP137" s="1">
        <v>134.286</v>
      </c>
      <c r="AQ137" s="1">
        <v>-3.7414999999999998</v>
      </c>
      <c r="AS137" s="1">
        <v>134.28700000000001</v>
      </c>
      <c r="AT137" s="1">
        <v>-1.2324999999999999</v>
      </c>
    </row>
    <row r="138" spans="2:46" x14ac:dyDescent="0.2">
      <c r="B138" s="1">
        <v>135.51599999999999</v>
      </c>
      <c r="C138" s="1">
        <v>13.086</v>
      </c>
      <c r="E138" s="1">
        <v>135.37899999999999</v>
      </c>
      <c r="F138" s="1">
        <v>8.9175000000000004</v>
      </c>
      <c r="H138" s="1">
        <v>135.41499999999999</v>
      </c>
      <c r="I138" s="1">
        <v>7.6295000000000002</v>
      </c>
      <c r="J138" s="6"/>
      <c r="K138" s="1">
        <v>135.29599999999999</v>
      </c>
      <c r="L138" s="1">
        <v>10.294</v>
      </c>
      <c r="N138" s="1">
        <v>135.42400000000001</v>
      </c>
      <c r="O138" s="1">
        <v>2.3420000000000001</v>
      </c>
      <c r="Q138" s="1">
        <v>135.33000000000001</v>
      </c>
      <c r="R138" s="1">
        <v>1.1054999999999999</v>
      </c>
      <c r="S138" s="6"/>
      <c r="T138" s="1">
        <v>135.297</v>
      </c>
      <c r="U138" s="1">
        <v>1.2809999999999999</v>
      </c>
      <c r="W138" s="1">
        <v>135.34299999999999</v>
      </c>
      <c r="X138" s="1">
        <v>1.1705000000000001</v>
      </c>
      <c r="Z138" s="1">
        <v>135.30699999999999</v>
      </c>
      <c r="AA138" s="1">
        <v>2.1435</v>
      </c>
      <c r="AB138" s="6"/>
      <c r="AC138" s="1">
        <v>135.33000000000001</v>
      </c>
      <c r="AD138" s="1">
        <v>-0.45300000000000001</v>
      </c>
      <c r="AF138" s="1">
        <v>135.381</v>
      </c>
      <c r="AG138" s="1">
        <v>-6.3500000000000001E-2</v>
      </c>
      <c r="AI138" s="1">
        <v>135.392</v>
      </c>
      <c r="AJ138" s="1">
        <v>-2.3855</v>
      </c>
      <c r="AK138" s="6"/>
      <c r="AM138" s="1">
        <v>135.315</v>
      </c>
      <c r="AN138" s="1">
        <v>6.8695000000000004</v>
      </c>
      <c r="AP138" s="1">
        <v>135.291</v>
      </c>
      <c r="AQ138" s="1">
        <v>-3.7509999999999999</v>
      </c>
      <c r="AS138" s="1">
        <v>135.29300000000001</v>
      </c>
      <c r="AT138" s="1">
        <v>-1.3109999999999999</v>
      </c>
    </row>
    <row r="139" spans="2:46" x14ac:dyDescent="0.2">
      <c r="B139" s="1">
        <v>136.52099999999999</v>
      </c>
      <c r="C139" s="1">
        <v>13.022500000000001</v>
      </c>
      <c r="E139" s="1">
        <v>136.38900000000001</v>
      </c>
      <c r="F139" s="1">
        <v>8.8405000000000005</v>
      </c>
      <c r="H139" s="1">
        <v>136.41800000000001</v>
      </c>
      <c r="I139" s="1">
        <v>7.55</v>
      </c>
      <c r="J139" s="6"/>
      <c r="K139" s="1">
        <v>136.30199999999999</v>
      </c>
      <c r="L139" s="1">
        <v>10.2065</v>
      </c>
      <c r="N139" s="1">
        <v>136.43</v>
      </c>
      <c r="O139" s="1">
        <v>2.2709999999999999</v>
      </c>
      <c r="Q139" s="1">
        <v>136.33500000000001</v>
      </c>
      <c r="R139" s="1">
        <v>1.0485</v>
      </c>
      <c r="S139" s="6"/>
      <c r="T139" s="1">
        <v>136.30099999999999</v>
      </c>
      <c r="U139" s="1">
        <v>1.2250000000000001</v>
      </c>
      <c r="W139" s="1">
        <v>136.34800000000001</v>
      </c>
      <c r="X139" s="1">
        <v>1.113</v>
      </c>
      <c r="Z139" s="1">
        <v>136.31</v>
      </c>
      <c r="AA139" s="1">
        <v>2.0754999999999999</v>
      </c>
      <c r="AB139" s="6"/>
      <c r="AC139" s="1">
        <v>136.333</v>
      </c>
      <c r="AD139" s="1">
        <v>-0.54649999999999999</v>
      </c>
      <c r="AF139" s="1">
        <v>136.387</v>
      </c>
      <c r="AG139" s="1">
        <v>-0.14899999999999999</v>
      </c>
      <c r="AI139" s="1">
        <v>136.39599999999999</v>
      </c>
      <c r="AJ139" s="1">
        <v>-2.4365000000000001</v>
      </c>
      <c r="AK139" s="6"/>
      <c r="AM139" s="1">
        <v>136.32300000000001</v>
      </c>
      <c r="AN139" s="1">
        <v>6.7785000000000002</v>
      </c>
      <c r="AP139" s="1">
        <v>136.298</v>
      </c>
      <c r="AQ139" s="1">
        <v>-3.7559999999999998</v>
      </c>
      <c r="AS139" s="1">
        <v>136.30099999999999</v>
      </c>
      <c r="AT139" s="1">
        <v>-1.3859999999999999</v>
      </c>
    </row>
    <row r="140" spans="2:46" x14ac:dyDescent="0.2">
      <c r="B140" s="1">
        <v>137.52600000000001</v>
      </c>
      <c r="C140" s="1">
        <v>12.951499999999999</v>
      </c>
      <c r="E140" s="1">
        <v>137.404</v>
      </c>
      <c r="F140" s="1">
        <v>8.7620000000000005</v>
      </c>
      <c r="H140" s="1">
        <v>137.42699999999999</v>
      </c>
      <c r="I140" s="1">
        <v>7.4820000000000002</v>
      </c>
      <c r="J140" s="6"/>
      <c r="K140" s="1">
        <v>137.30699999999999</v>
      </c>
      <c r="L140" s="1">
        <v>10.1135</v>
      </c>
      <c r="N140" s="1">
        <v>137.43899999999999</v>
      </c>
      <c r="O140" s="1">
        <v>2.1949999999999998</v>
      </c>
      <c r="Q140" s="1">
        <v>137.34299999999999</v>
      </c>
      <c r="R140" s="1">
        <v>0.99299999999999999</v>
      </c>
      <c r="S140" s="6"/>
      <c r="T140" s="1">
        <v>137.304</v>
      </c>
      <c r="U140" s="1">
        <v>1.1535</v>
      </c>
      <c r="W140" s="1">
        <v>137.35400000000001</v>
      </c>
      <c r="X140" s="1">
        <v>1.0645</v>
      </c>
      <c r="Z140" s="1">
        <v>137.315</v>
      </c>
      <c r="AA140" s="1">
        <v>2.0055000000000001</v>
      </c>
      <c r="AB140" s="6"/>
      <c r="AC140" s="1">
        <v>137.339</v>
      </c>
      <c r="AD140" s="1">
        <v>-0.64649999999999996</v>
      </c>
      <c r="AF140" s="1">
        <v>137.393</v>
      </c>
      <c r="AG140" s="1">
        <v>-0.2445</v>
      </c>
      <c r="AI140" s="1">
        <v>137.40100000000001</v>
      </c>
      <c r="AJ140" s="1">
        <v>-2.4750000000000001</v>
      </c>
      <c r="AK140" s="6"/>
      <c r="AM140" s="1">
        <v>137.33199999999999</v>
      </c>
      <c r="AN140" s="1">
        <v>6.6879999999999997</v>
      </c>
      <c r="AP140" s="1">
        <v>137.30500000000001</v>
      </c>
      <c r="AQ140" s="1">
        <v>-3.7475000000000001</v>
      </c>
      <c r="AS140" s="1">
        <v>137.30500000000001</v>
      </c>
      <c r="AT140" s="1">
        <v>-1.4735</v>
      </c>
    </row>
    <row r="141" spans="2:46" x14ac:dyDescent="0.2">
      <c r="B141" s="1">
        <v>138.53</v>
      </c>
      <c r="C141" s="1">
        <v>12.872999999999999</v>
      </c>
      <c r="E141" s="1">
        <v>138.40899999999999</v>
      </c>
      <c r="F141" s="1">
        <v>8.6869999999999994</v>
      </c>
      <c r="H141" s="1">
        <v>138.43700000000001</v>
      </c>
      <c r="I141" s="1">
        <v>7.4</v>
      </c>
      <c r="J141" s="6"/>
      <c r="K141" s="1">
        <v>138.31299999999999</v>
      </c>
      <c r="L141" s="1">
        <v>10.022</v>
      </c>
      <c r="N141" s="1">
        <v>138.447</v>
      </c>
      <c r="O141" s="1">
        <v>2.1335000000000002</v>
      </c>
      <c r="Q141" s="1">
        <v>138.35</v>
      </c>
      <c r="R141" s="1">
        <v>0.94750000000000001</v>
      </c>
      <c r="S141" s="6"/>
      <c r="T141" s="1">
        <v>138.30799999999999</v>
      </c>
      <c r="U141" s="1">
        <v>1.0820000000000001</v>
      </c>
      <c r="W141" s="1">
        <v>138.35900000000001</v>
      </c>
      <c r="X141" s="1">
        <v>1.0044999999999999</v>
      </c>
      <c r="Z141" s="1">
        <v>138.32</v>
      </c>
      <c r="AA141" s="1">
        <v>1.9259999999999999</v>
      </c>
      <c r="AB141" s="6"/>
      <c r="AC141" s="1">
        <v>138.34399999999999</v>
      </c>
      <c r="AD141" s="1">
        <v>-0.73899999999999999</v>
      </c>
      <c r="AF141" s="1">
        <v>138.40100000000001</v>
      </c>
      <c r="AG141" s="1">
        <v>-0.33050000000000002</v>
      </c>
      <c r="AI141" s="1">
        <v>138.405</v>
      </c>
      <c r="AJ141" s="1">
        <v>-2.5049999999999999</v>
      </c>
      <c r="AK141" s="6"/>
      <c r="AM141" s="1">
        <v>138.34200000000001</v>
      </c>
      <c r="AN141" s="1">
        <v>6.6025</v>
      </c>
      <c r="AP141" s="1">
        <v>138.31399999999999</v>
      </c>
      <c r="AQ141" s="1">
        <v>-3.7509999999999999</v>
      </c>
      <c r="AS141" s="1">
        <v>138.31</v>
      </c>
      <c r="AT141" s="1">
        <v>-1.5505</v>
      </c>
    </row>
    <row r="142" spans="2:46" x14ac:dyDescent="0.2">
      <c r="B142" s="1">
        <v>139.53700000000001</v>
      </c>
      <c r="C142" s="1">
        <v>12.810499999999999</v>
      </c>
      <c r="E142" s="1">
        <v>139.41999999999999</v>
      </c>
      <c r="F142" s="1">
        <v>8.5969999999999995</v>
      </c>
      <c r="H142" s="1">
        <v>139.44399999999999</v>
      </c>
      <c r="I142" s="1">
        <v>7.319</v>
      </c>
      <c r="J142" s="6"/>
      <c r="K142" s="1">
        <v>139.322</v>
      </c>
      <c r="L142" s="1">
        <v>9.9269999999999996</v>
      </c>
      <c r="N142" s="1">
        <v>139.45400000000001</v>
      </c>
      <c r="O142" s="1">
        <v>2.06</v>
      </c>
      <c r="Q142" s="1">
        <v>139.357</v>
      </c>
      <c r="R142" s="1">
        <v>0.88449999999999995</v>
      </c>
      <c r="S142" s="6"/>
      <c r="T142" s="1">
        <v>139.31200000000001</v>
      </c>
      <c r="U142" s="1">
        <v>1.014</v>
      </c>
      <c r="W142" s="1">
        <v>139.364</v>
      </c>
      <c r="X142" s="1">
        <v>0.95299999999999996</v>
      </c>
      <c r="Z142" s="1">
        <v>139.32599999999999</v>
      </c>
      <c r="AA142" s="1">
        <v>1.8545</v>
      </c>
      <c r="AB142" s="6"/>
      <c r="AC142" s="1">
        <v>139.34800000000001</v>
      </c>
      <c r="AD142" s="1">
        <v>-0.83799999999999997</v>
      </c>
      <c r="AF142" s="1">
        <v>139.40600000000001</v>
      </c>
      <c r="AG142" s="1">
        <v>-0.41949999999999998</v>
      </c>
      <c r="AI142" s="1">
        <v>139.41200000000001</v>
      </c>
      <c r="AJ142" s="1">
        <v>-2.524</v>
      </c>
      <c r="AK142" s="6"/>
      <c r="AM142" s="1">
        <v>139.35</v>
      </c>
      <c r="AN142" s="1">
        <v>6.5279999999999996</v>
      </c>
      <c r="AP142" s="1">
        <v>139.36699999999999</v>
      </c>
      <c r="AQ142" s="1">
        <v>-3.7574999999999998</v>
      </c>
      <c r="AS142" s="1">
        <v>139.31899999999999</v>
      </c>
      <c r="AT142" s="1">
        <v>-1.6259999999999999</v>
      </c>
    </row>
    <row r="143" spans="2:46" x14ac:dyDescent="0.2">
      <c r="B143" s="1">
        <v>140.54599999999999</v>
      </c>
      <c r="C143" s="1">
        <v>12.7455</v>
      </c>
      <c r="E143" s="1">
        <v>140.428</v>
      </c>
      <c r="F143" s="1">
        <v>8.5184999999999995</v>
      </c>
      <c r="H143" s="1">
        <v>140.44999999999999</v>
      </c>
      <c r="I143" s="1">
        <v>7.2439999999999998</v>
      </c>
      <c r="J143" s="6"/>
      <c r="K143" s="1">
        <v>140.33000000000001</v>
      </c>
      <c r="L143" s="1">
        <v>9.8309999999999995</v>
      </c>
      <c r="N143" s="1">
        <v>140.459</v>
      </c>
      <c r="O143" s="1">
        <v>1.992</v>
      </c>
      <c r="Q143" s="1">
        <v>140.36099999999999</v>
      </c>
      <c r="R143" s="1">
        <v>0.82650000000000001</v>
      </c>
      <c r="S143" s="6"/>
      <c r="T143" s="1">
        <v>140.315</v>
      </c>
      <c r="U143" s="1">
        <v>0.96150000000000002</v>
      </c>
      <c r="W143" s="1">
        <v>140.37100000000001</v>
      </c>
      <c r="X143" s="1">
        <v>0.89349999999999996</v>
      </c>
      <c r="Z143" s="1">
        <v>140.334</v>
      </c>
      <c r="AA143" s="1">
        <v>1.7789999999999999</v>
      </c>
      <c r="AB143" s="6"/>
      <c r="AC143" s="1">
        <v>140.35300000000001</v>
      </c>
      <c r="AD143" s="1">
        <v>-0.92500000000000004</v>
      </c>
      <c r="AF143" s="1">
        <v>140.41200000000001</v>
      </c>
      <c r="AG143" s="1">
        <v>-0.51</v>
      </c>
      <c r="AI143" s="1">
        <v>140.41999999999999</v>
      </c>
      <c r="AJ143" s="1">
        <v>-2.5449999999999999</v>
      </c>
      <c r="AK143" s="6"/>
      <c r="AM143" s="1">
        <v>140.35499999999999</v>
      </c>
      <c r="AN143" s="1">
        <v>6.4370000000000003</v>
      </c>
      <c r="AP143" s="1">
        <v>140.37100000000001</v>
      </c>
      <c r="AQ143" s="1">
        <v>-3.7505000000000002</v>
      </c>
      <c r="AS143" s="1">
        <v>140.327</v>
      </c>
      <c r="AT143" s="1">
        <v>-1.7075</v>
      </c>
    </row>
    <row r="144" spans="2:46" x14ac:dyDescent="0.2">
      <c r="B144" s="1">
        <v>141.55000000000001</v>
      </c>
      <c r="C144" s="1">
        <v>12.673999999999999</v>
      </c>
      <c r="E144" s="1">
        <v>141.43600000000001</v>
      </c>
      <c r="F144" s="1">
        <v>8.4324999999999992</v>
      </c>
      <c r="H144" s="1">
        <v>141.45400000000001</v>
      </c>
      <c r="I144" s="1">
        <v>7.1719999999999997</v>
      </c>
      <c r="J144" s="6"/>
      <c r="K144" s="1">
        <v>141.33799999999999</v>
      </c>
      <c r="L144" s="1">
        <v>9.7375000000000007</v>
      </c>
      <c r="N144" s="1">
        <v>141.46299999999999</v>
      </c>
      <c r="O144" s="1">
        <v>1.9055</v>
      </c>
      <c r="Q144" s="1">
        <v>141.36600000000001</v>
      </c>
      <c r="R144" s="1">
        <v>0.76700000000000002</v>
      </c>
      <c r="S144" s="6"/>
      <c r="T144" s="1">
        <v>141.321</v>
      </c>
      <c r="U144" s="1">
        <v>0.89</v>
      </c>
      <c r="W144" s="1">
        <v>141.375</v>
      </c>
      <c r="X144" s="1">
        <v>0.82799999999999996</v>
      </c>
      <c r="Z144" s="1">
        <v>141.34200000000001</v>
      </c>
      <c r="AA144" s="1">
        <v>1.7124999999999999</v>
      </c>
      <c r="AB144" s="6"/>
      <c r="AC144" s="1">
        <v>141.358</v>
      </c>
      <c r="AD144" s="1">
        <v>-1.0309999999999999</v>
      </c>
      <c r="AF144" s="1">
        <v>141.41800000000001</v>
      </c>
      <c r="AG144" s="1">
        <v>-0.60450000000000004</v>
      </c>
      <c r="AI144" s="1">
        <v>141.42599999999999</v>
      </c>
      <c r="AJ144" s="1">
        <v>-2.556</v>
      </c>
      <c r="AK144" s="6"/>
      <c r="AM144" s="1">
        <v>141.36000000000001</v>
      </c>
      <c r="AN144" s="1">
        <v>6.3460000000000001</v>
      </c>
      <c r="AP144" s="1">
        <v>141.376</v>
      </c>
      <c r="AQ144" s="1">
        <v>-3.7559999999999998</v>
      </c>
      <c r="AS144" s="1">
        <v>141.333</v>
      </c>
      <c r="AT144" s="1">
        <v>-1.7905</v>
      </c>
    </row>
    <row r="145" spans="2:46" x14ac:dyDescent="0.2">
      <c r="B145" s="1">
        <v>142.55699999999999</v>
      </c>
      <c r="C145" s="1">
        <v>12.612</v>
      </c>
      <c r="E145" s="1">
        <v>142.44300000000001</v>
      </c>
      <c r="F145" s="1">
        <v>8.3490000000000002</v>
      </c>
      <c r="H145" s="1">
        <v>142.45699999999999</v>
      </c>
      <c r="I145" s="1">
        <v>7.0890000000000004</v>
      </c>
      <c r="J145" s="6"/>
      <c r="K145" s="1">
        <v>142.34800000000001</v>
      </c>
      <c r="L145" s="1">
        <v>9.6475000000000009</v>
      </c>
      <c r="N145" s="1">
        <v>142.46899999999999</v>
      </c>
      <c r="O145" s="1">
        <v>1.8405</v>
      </c>
      <c r="Q145" s="1">
        <v>142.37100000000001</v>
      </c>
      <c r="R145" s="1">
        <v>0.70950000000000002</v>
      </c>
      <c r="S145" s="6"/>
      <c r="T145" s="1">
        <v>142.32499999999999</v>
      </c>
      <c r="U145" s="1">
        <v>0.8135</v>
      </c>
      <c r="W145" s="1">
        <v>142.37899999999999</v>
      </c>
      <c r="X145" s="1">
        <v>0.77549999999999997</v>
      </c>
      <c r="Z145" s="1">
        <v>142.351</v>
      </c>
      <c r="AA145" s="1">
        <v>1.6339999999999999</v>
      </c>
      <c r="AB145" s="6"/>
      <c r="AC145" s="1">
        <v>142.36500000000001</v>
      </c>
      <c r="AD145" s="1">
        <v>-1.1285000000000001</v>
      </c>
      <c r="AF145" s="1">
        <v>142.423</v>
      </c>
      <c r="AG145" s="1">
        <v>-0.69850000000000001</v>
      </c>
      <c r="AI145" s="1">
        <v>142.43100000000001</v>
      </c>
      <c r="AJ145" s="1">
        <v>-2.5525000000000002</v>
      </c>
      <c r="AK145" s="6"/>
      <c r="AM145" s="1">
        <v>142.36500000000001</v>
      </c>
      <c r="AN145" s="1">
        <v>6.2779999999999996</v>
      </c>
      <c r="AP145" s="1">
        <v>142.38200000000001</v>
      </c>
      <c r="AQ145" s="1">
        <v>-3.7589999999999999</v>
      </c>
      <c r="AS145" s="1">
        <v>142.33699999999999</v>
      </c>
      <c r="AT145" s="1">
        <v>-1.8694999999999999</v>
      </c>
    </row>
    <row r="146" spans="2:46" x14ac:dyDescent="0.2">
      <c r="B146" s="1">
        <v>143.56299999999999</v>
      </c>
      <c r="C146" s="1">
        <v>12.544</v>
      </c>
      <c r="E146" s="1">
        <v>143.447</v>
      </c>
      <c r="F146" s="1">
        <v>8.266</v>
      </c>
      <c r="H146" s="1">
        <v>143.46</v>
      </c>
      <c r="I146" s="1">
        <v>7.024</v>
      </c>
      <c r="J146" s="6"/>
      <c r="K146" s="1">
        <v>143.35499999999999</v>
      </c>
      <c r="L146" s="1">
        <v>9.5515000000000008</v>
      </c>
      <c r="N146" s="1">
        <v>143.47900000000001</v>
      </c>
      <c r="O146" s="1">
        <v>1.7569999999999999</v>
      </c>
      <c r="Q146" s="1">
        <v>143.37799999999999</v>
      </c>
      <c r="R146" s="1">
        <v>0.65700000000000003</v>
      </c>
      <c r="S146" s="6"/>
      <c r="T146" s="1">
        <v>143.333</v>
      </c>
      <c r="U146" s="1">
        <v>0.75249999999999995</v>
      </c>
      <c r="W146" s="1">
        <v>143.38200000000001</v>
      </c>
      <c r="X146" s="1">
        <v>0.72450000000000003</v>
      </c>
      <c r="Z146" s="1">
        <v>143.358</v>
      </c>
      <c r="AA146" s="1">
        <v>1.5575000000000001</v>
      </c>
      <c r="AB146" s="6"/>
      <c r="AC146" s="1">
        <v>143.37</v>
      </c>
      <c r="AD146" s="1">
        <v>-1.2164999999999999</v>
      </c>
      <c r="AF146" s="1">
        <v>143.42699999999999</v>
      </c>
      <c r="AG146" s="1">
        <v>-0.79</v>
      </c>
      <c r="AI146" s="1">
        <v>143.43700000000001</v>
      </c>
      <c r="AJ146" s="1">
        <v>-2.544</v>
      </c>
      <c r="AK146" s="6"/>
      <c r="AM146" s="1">
        <v>143.37100000000001</v>
      </c>
      <c r="AN146" s="1">
        <v>6.1844999999999999</v>
      </c>
      <c r="AP146" s="1">
        <v>143.38800000000001</v>
      </c>
      <c r="AQ146" s="1">
        <v>-3.7639999999999998</v>
      </c>
      <c r="AS146" s="1">
        <v>143.34200000000001</v>
      </c>
      <c r="AT146" s="1">
        <v>-1.948</v>
      </c>
    </row>
    <row r="147" spans="2:46" x14ac:dyDescent="0.2">
      <c r="B147" s="1">
        <v>144.57300000000001</v>
      </c>
      <c r="C147" s="1">
        <v>12.48</v>
      </c>
      <c r="E147" s="1">
        <v>144.453</v>
      </c>
      <c r="F147" s="1">
        <v>8.1905000000000001</v>
      </c>
      <c r="H147" s="1">
        <v>144.46299999999999</v>
      </c>
      <c r="I147" s="1">
        <v>6.9480000000000004</v>
      </c>
      <c r="J147" s="6"/>
      <c r="K147" s="1">
        <v>144.36099999999999</v>
      </c>
      <c r="L147" s="1">
        <v>9.4604999999999997</v>
      </c>
      <c r="N147" s="1">
        <v>144.48400000000001</v>
      </c>
      <c r="O147" s="1">
        <v>1.6819999999999999</v>
      </c>
      <c r="Q147" s="1">
        <v>144.38200000000001</v>
      </c>
      <c r="R147" s="1">
        <v>0.59099999999999997</v>
      </c>
      <c r="S147" s="6"/>
      <c r="T147" s="1">
        <v>144.34</v>
      </c>
      <c r="U147" s="1">
        <v>0.68</v>
      </c>
      <c r="W147" s="1">
        <v>144.39099999999999</v>
      </c>
      <c r="X147" s="1">
        <v>0.66</v>
      </c>
      <c r="Z147" s="1">
        <v>144.364</v>
      </c>
      <c r="AA147" s="1">
        <v>1.4850000000000001</v>
      </c>
      <c r="AB147" s="6"/>
      <c r="AC147" s="1">
        <v>144.375</v>
      </c>
      <c r="AD147" s="1">
        <v>-1.2989999999999999</v>
      </c>
      <c r="AF147" s="1">
        <v>144.43199999999999</v>
      </c>
      <c r="AG147" s="1">
        <v>-0.88200000000000001</v>
      </c>
      <c r="AI147" s="1">
        <v>144.441</v>
      </c>
      <c r="AJ147" s="1">
        <v>-2.5310000000000001</v>
      </c>
      <c r="AK147" s="6"/>
      <c r="AM147" s="1">
        <v>144.37700000000001</v>
      </c>
      <c r="AN147" s="1">
        <v>6.1050000000000004</v>
      </c>
      <c r="AP147" s="1">
        <v>144.43199999999999</v>
      </c>
      <c r="AQ147" s="1">
        <v>-3.7654999999999998</v>
      </c>
      <c r="AS147" s="1">
        <v>144.34800000000001</v>
      </c>
      <c r="AT147" s="1">
        <v>-2.0255000000000001</v>
      </c>
    </row>
    <row r="148" spans="2:46" x14ac:dyDescent="0.2">
      <c r="B148" s="1">
        <v>145.58199999999999</v>
      </c>
      <c r="C148" s="1">
        <v>12.413500000000001</v>
      </c>
      <c r="E148" s="1">
        <v>145.459</v>
      </c>
      <c r="F148" s="1">
        <v>8.1114999999999995</v>
      </c>
      <c r="H148" s="1">
        <v>145.46799999999999</v>
      </c>
      <c r="I148" s="1">
        <v>6.8754999999999997</v>
      </c>
      <c r="J148" s="6"/>
      <c r="K148" s="1">
        <v>145.36699999999999</v>
      </c>
      <c r="L148" s="1">
        <v>9.3699999999999992</v>
      </c>
      <c r="N148" s="1">
        <v>145.49199999999999</v>
      </c>
      <c r="O148" s="1">
        <v>1.6060000000000001</v>
      </c>
      <c r="Q148" s="1">
        <v>145.38800000000001</v>
      </c>
      <c r="R148" s="1">
        <v>0.53349999999999997</v>
      </c>
      <c r="S148" s="6"/>
      <c r="T148" s="1">
        <v>145.346</v>
      </c>
      <c r="U148" s="1">
        <v>0.61</v>
      </c>
      <c r="W148" s="1">
        <v>145.398</v>
      </c>
      <c r="X148" s="1">
        <v>0.6</v>
      </c>
      <c r="Z148" s="1">
        <v>145.36799999999999</v>
      </c>
      <c r="AA148" s="1">
        <v>1.411</v>
      </c>
      <c r="AB148" s="6"/>
      <c r="AC148" s="1">
        <v>145.38200000000001</v>
      </c>
      <c r="AD148" s="1">
        <v>-1.393</v>
      </c>
      <c r="AF148" s="1">
        <v>145.43799999999999</v>
      </c>
      <c r="AG148" s="1">
        <v>-0.96650000000000003</v>
      </c>
      <c r="AI148" s="1">
        <v>145.44499999999999</v>
      </c>
      <c r="AJ148" s="1">
        <v>-2.5105</v>
      </c>
      <c r="AK148" s="6"/>
      <c r="AM148" s="1">
        <v>145.38499999999999</v>
      </c>
      <c r="AN148" s="1">
        <v>6.0250000000000004</v>
      </c>
      <c r="AP148" s="1">
        <v>145.43700000000001</v>
      </c>
      <c r="AQ148" s="1">
        <v>-3.7665000000000002</v>
      </c>
      <c r="AS148" s="1">
        <v>145.351</v>
      </c>
      <c r="AT148" s="1">
        <v>-2.109</v>
      </c>
    </row>
    <row r="149" spans="2:46" x14ac:dyDescent="0.2">
      <c r="B149" s="1">
        <v>146.58699999999999</v>
      </c>
      <c r="C149" s="1">
        <v>12.3405</v>
      </c>
      <c r="E149" s="1">
        <v>146.46700000000001</v>
      </c>
      <c r="F149" s="1">
        <v>8.0274999999999999</v>
      </c>
      <c r="H149" s="1">
        <v>146.47200000000001</v>
      </c>
      <c r="I149" s="1">
        <v>6.7945000000000002</v>
      </c>
      <c r="J149" s="6"/>
      <c r="K149" s="1">
        <v>146.37200000000001</v>
      </c>
      <c r="L149" s="1">
        <v>9.2844999999999995</v>
      </c>
      <c r="N149" s="1">
        <v>146.49600000000001</v>
      </c>
      <c r="O149" s="1">
        <v>1.532</v>
      </c>
      <c r="Q149" s="1">
        <v>146.39500000000001</v>
      </c>
      <c r="R149" s="1">
        <v>0.47649999999999998</v>
      </c>
      <c r="S149" s="6"/>
      <c r="T149" s="1">
        <v>146.35</v>
      </c>
      <c r="U149" s="1">
        <v>0.5575</v>
      </c>
      <c r="W149" s="1">
        <v>146.405</v>
      </c>
      <c r="X149" s="1">
        <v>0.54100000000000004</v>
      </c>
      <c r="Z149" s="1">
        <v>146.374</v>
      </c>
      <c r="AA149" s="1">
        <v>1.3334999999999999</v>
      </c>
      <c r="AB149" s="6"/>
      <c r="AC149" s="1">
        <v>146.38900000000001</v>
      </c>
      <c r="AD149" s="1">
        <v>-1.4804999999999999</v>
      </c>
      <c r="AF149" s="1">
        <v>146.44399999999999</v>
      </c>
      <c r="AG149" s="1">
        <v>-1.0529999999999999</v>
      </c>
      <c r="AI149" s="1">
        <v>146.44900000000001</v>
      </c>
      <c r="AJ149" s="1">
        <v>-2.4830000000000001</v>
      </c>
      <c r="AK149" s="6"/>
      <c r="AM149" s="1">
        <v>146.38999999999999</v>
      </c>
      <c r="AN149" s="1">
        <v>5.9420000000000002</v>
      </c>
      <c r="AP149" s="1">
        <v>146.44300000000001</v>
      </c>
      <c r="AQ149" s="1">
        <v>-3.7639999999999998</v>
      </c>
      <c r="AS149" s="1">
        <v>146.35599999999999</v>
      </c>
      <c r="AT149" s="1">
        <v>-2.1989999999999998</v>
      </c>
    </row>
    <row r="150" spans="2:46" x14ac:dyDescent="0.2">
      <c r="B150" s="1">
        <v>147.59200000000001</v>
      </c>
      <c r="C150" s="1">
        <v>12.278</v>
      </c>
      <c r="E150" s="1">
        <v>147.47200000000001</v>
      </c>
      <c r="F150" s="1">
        <v>7.9550000000000001</v>
      </c>
      <c r="H150" s="1">
        <v>147.477</v>
      </c>
      <c r="I150" s="1">
        <v>6.72</v>
      </c>
      <c r="J150" s="6"/>
      <c r="K150" s="1">
        <v>147.37700000000001</v>
      </c>
      <c r="L150" s="1">
        <v>9.1989999999999998</v>
      </c>
      <c r="N150" s="1">
        <v>147.501</v>
      </c>
      <c r="O150" s="1">
        <v>1.4564999999999999</v>
      </c>
      <c r="Q150" s="1">
        <v>147.40199999999999</v>
      </c>
      <c r="R150" s="1">
        <v>0.41949999999999998</v>
      </c>
      <c r="S150" s="6"/>
      <c r="T150" s="1">
        <v>147.35499999999999</v>
      </c>
      <c r="U150" s="1">
        <v>0.49249999999999999</v>
      </c>
      <c r="W150" s="1">
        <v>147.41300000000001</v>
      </c>
      <c r="X150" s="1">
        <v>0.48299999999999998</v>
      </c>
      <c r="Z150" s="1">
        <v>147.381</v>
      </c>
      <c r="AA150" s="1">
        <v>1.2605</v>
      </c>
      <c r="AB150" s="6"/>
      <c r="AC150" s="1">
        <v>147.392</v>
      </c>
      <c r="AD150" s="1">
        <v>-1.579</v>
      </c>
      <c r="AF150" s="1">
        <v>147.45099999999999</v>
      </c>
      <c r="AG150" s="1">
        <v>-1.149</v>
      </c>
      <c r="AI150" s="1">
        <v>147.45500000000001</v>
      </c>
      <c r="AJ150" s="1">
        <v>-2.4670000000000001</v>
      </c>
      <c r="AK150" s="6"/>
      <c r="AM150" s="1">
        <v>147.398</v>
      </c>
      <c r="AN150" s="1">
        <v>5.8550000000000004</v>
      </c>
      <c r="AP150" s="1">
        <v>147.44900000000001</v>
      </c>
      <c r="AQ150" s="1">
        <v>-3.7679999999999998</v>
      </c>
      <c r="AS150" s="1">
        <v>147.36199999999999</v>
      </c>
      <c r="AT150" s="1">
        <v>-2.274</v>
      </c>
    </row>
    <row r="151" spans="2:46" x14ac:dyDescent="0.2">
      <c r="B151" s="1">
        <v>148.59800000000001</v>
      </c>
      <c r="C151" s="1">
        <v>12.21</v>
      </c>
      <c r="E151" s="1">
        <v>148.476</v>
      </c>
      <c r="F151" s="1">
        <v>7.8719999999999999</v>
      </c>
      <c r="H151" s="1">
        <v>148.482</v>
      </c>
      <c r="I151" s="1">
        <v>6.6455000000000002</v>
      </c>
      <c r="J151" s="6"/>
      <c r="K151" s="1">
        <v>148.38399999999999</v>
      </c>
      <c r="L151" s="1">
        <v>9.0995000000000008</v>
      </c>
      <c r="N151" s="1">
        <v>148.505</v>
      </c>
      <c r="O151" s="1">
        <v>1.379</v>
      </c>
      <c r="Q151" s="1">
        <v>148.40600000000001</v>
      </c>
      <c r="R151" s="1">
        <v>0.35899999999999999</v>
      </c>
      <c r="S151" s="6"/>
      <c r="T151" s="1">
        <v>148.36000000000001</v>
      </c>
      <c r="U151" s="1">
        <v>0.41099999999999998</v>
      </c>
      <c r="W151" s="1">
        <v>148.41800000000001</v>
      </c>
      <c r="X151" s="1">
        <v>0.41899999999999998</v>
      </c>
      <c r="Z151" s="1">
        <v>148.38800000000001</v>
      </c>
      <c r="AA151" s="1">
        <v>1.1975</v>
      </c>
      <c r="AB151" s="6"/>
      <c r="AC151" s="1">
        <v>148.398</v>
      </c>
      <c r="AD151" s="1">
        <v>-1.6755</v>
      </c>
      <c r="AF151" s="1">
        <v>148.458</v>
      </c>
      <c r="AG151" s="1">
        <v>-1.2355</v>
      </c>
      <c r="AI151" s="1">
        <v>148.46100000000001</v>
      </c>
      <c r="AJ151" s="1">
        <v>-2.4420000000000002</v>
      </c>
      <c r="AK151" s="6"/>
      <c r="AM151" s="1">
        <v>148.405</v>
      </c>
      <c r="AN151" s="1">
        <v>5.7720000000000002</v>
      </c>
      <c r="AP151" s="1">
        <v>148.45599999999999</v>
      </c>
      <c r="AQ151" s="1">
        <v>-3.762</v>
      </c>
      <c r="AS151" s="1">
        <v>148.37</v>
      </c>
      <c r="AT151" s="1">
        <v>-2.351</v>
      </c>
    </row>
    <row r="152" spans="2:46" x14ac:dyDescent="0.2">
      <c r="B152" s="1">
        <v>149.60300000000001</v>
      </c>
      <c r="C152" s="1">
        <v>12.137</v>
      </c>
      <c r="E152" s="1">
        <v>149.482</v>
      </c>
      <c r="F152" s="1">
        <v>7.782</v>
      </c>
      <c r="H152" s="1">
        <v>149.488</v>
      </c>
      <c r="I152" s="1">
        <v>6.57</v>
      </c>
      <c r="J152" s="6"/>
      <c r="K152" s="1">
        <v>149.38900000000001</v>
      </c>
      <c r="L152" s="1">
        <v>9.0090000000000003</v>
      </c>
      <c r="N152" s="1">
        <v>149.511</v>
      </c>
      <c r="O152" s="1">
        <v>1.3095000000000001</v>
      </c>
      <c r="Q152" s="1">
        <v>149.411</v>
      </c>
      <c r="R152" s="1">
        <v>0.29849999999999999</v>
      </c>
      <c r="S152" s="6"/>
      <c r="T152" s="1">
        <v>149.36699999999999</v>
      </c>
      <c r="U152" s="1">
        <v>0.34250000000000003</v>
      </c>
      <c r="W152" s="1">
        <v>149.42400000000001</v>
      </c>
      <c r="X152" s="1">
        <v>0.35549999999999998</v>
      </c>
      <c r="Z152" s="1">
        <v>149.39699999999999</v>
      </c>
      <c r="AA152" s="1">
        <v>1.1254999999999999</v>
      </c>
      <c r="AB152" s="6"/>
      <c r="AC152" s="1">
        <v>149.40199999999999</v>
      </c>
      <c r="AD152" s="1">
        <v>-1.766</v>
      </c>
      <c r="AF152" s="1">
        <v>149.46299999999999</v>
      </c>
      <c r="AG152" s="1">
        <v>-1.325</v>
      </c>
      <c r="AI152" s="1">
        <v>149.465</v>
      </c>
      <c r="AJ152" s="1">
        <v>-2.4209999999999998</v>
      </c>
      <c r="AK152" s="6"/>
      <c r="AM152" s="1">
        <v>149.40899999999999</v>
      </c>
      <c r="AN152" s="1">
        <v>5.6859999999999999</v>
      </c>
      <c r="AP152" s="1">
        <v>149.46299999999999</v>
      </c>
      <c r="AQ152" s="1">
        <v>-3.7629999999999999</v>
      </c>
      <c r="AS152" s="1">
        <v>149.37799999999999</v>
      </c>
      <c r="AT152" s="1">
        <v>-2.4205000000000001</v>
      </c>
    </row>
    <row r="153" spans="2:46" x14ac:dyDescent="0.2">
      <c r="B153" s="1">
        <v>150.60900000000001</v>
      </c>
      <c r="C153" s="1">
        <v>12.073</v>
      </c>
      <c r="E153" s="1">
        <v>150.48500000000001</v>
      </c>
      <c r="F153" s="1">
        <v>7.7</v>
      </c>
      <c r="H153" s="1">
        <v>150.49100000000001</v>
      </c>
      <c r="I153" s="1">
        <v>6.4969999999999999</v>
      </c>
      <c r="J153" s="6"/>
      <c r="K153" s="1">
        <v>150.39500000000001</v>
      </c>
      <c r="L153" s="1">
        <v>8.9239999999999995</v>
      </c>
      <c r="N153" s="1">
        <v>150.51599999999999</v>
      </c>
      <c r="O153" s="1">
        <v>1.2350000000000001</v>
      </c>
      <c r="Q153" s="1">
        <v>150.416</v>
      </c>
      <c r="R153" s="1">
        <v>0.24299999999999999</v>
      </c>
      <c r="S153" s="6"/>
      <c r="T153" s="1">
        <v>150.375</v>
      </c>
      <c r="U153" s="1">
        <v>0.27800000000000002</v>
      </c>
      <c r="W153" s="1">
        <v>150.43100000000001</v>
      </c>
      <c r="X153" s="1">
        <v>0.29799999999999999</v>
      </c>
      <c r="Z153" s="1">
        <v>150.404</v>
      </c>
      <c r="AA153" s="1">
        <v>1.0549999999999999</v>
      </c>
      <c r="AB153" s="6"/>
      <c r="AC153" s="1">
        <v>150.40899999999999</v>
      </c>
      <c r="AD153" s="1">
        <v>-1.8540000000000001</v>
      </c>
      <c r="AF153" s="1">
        <v>150.46799999999999</v>
      </c>
      <c r="AG153" s="1">
        <v>-1.407</v>
      </c>
      <c r="AI153" s="1">
        <v>150.47</v>
      </c>
      <c r="AJ153" s="1">
        <v>-2.403</v>
      </c>
      <c r="AK153" s="6"/>
      <c r="AM153" s="1">
        <v>150.416</v>
      </c>
      <c r="AN153" s="1">
        <v>5.61</v>
      </c>
      <c r="AP153" s="1">
        <v>150.471</v>
      </c>
      <c r="AQ153" s="1">
        <v>-3.762</v>
      </c>
      <c r="AS153" s="1">
        <v>150.38399999999999</v>
      </c>
      <c r="AT153" s="1">
        <v>-2.5015000000000001</v>
      </c>
    </row>
    <row r="154" spans="2:46" x14ac:dyDescent="0.2">
      <c r="B154" s="1">
        <v>151.614</v>
      </c>
      <c r="C154" s="1">
        <v>12.005000000000001</v>
      </c>
      <c r="E154" s="1">
        <v>151.488</v>
      </c>
      <c r="F154" s="1">
        <v>7.6204999999999998</v>
      </c>
      <c r="H154" s="1">
        <v>151.49600000000001</v>
      </c>
      <c r="I154" s="1">
        <v>6.4195000000000002</v>
      </c>
      <c r="J154" s="6"/>
      <c r="K154" s="1">
        <v>151.4</v>
      </c>
      <c r="L154" s="1">
        <v>8.8390000000000004</v>
      </c>
      <c r="N154" s="1">
        <v>151.52099999999999</v>
      </c>
      <c r="O154" s="1">
        <v>1.1745000000000001</v>
      </c>
      <c r="Q154" s="1">
        <v>151.42099999999999</v>
      </c>
      <c r="R154" s="1">
        <v>0.1885</v>
      </c>
      <c r="S154" s="6"/>
      <c r="T154" s="1">
        <v>151.38200000000001</v>
      </c>
      <c r="U154" s="1">
        <v>0.2175</v>
      </c>
      <c r="W154" s="1">
        <v>151.43799999999999</v>
      </c>
      <c r="X154" s="1">
        <v>0.23699999999999999</v>
      </c>
      <c r="Z154" s="1">
        <v>151.40899999999999</v>
      </c>
      <c r="AA154" s="1">
        <v>0.97899999999999998</v>
      </c>
      <c r="AB154" s="6"/>
      <c r="AC154" s="1">
        <v>151.416</v>
      </c>
      <c r="AD154" s="1">
        <v>-1.948</v>
      </c>
      <c r="AF154" s="1">
        <v>151.471</v>
      </c>
      <c r="AG154" s="1">
        <v>-1.4904999999999999</v>
      </c>
      <c r="AI154" s="1">
        <v>151.477</v>
      </c>
      <c r="AJ154" s="1">
        <v>-2.3919999999999999</v>
      </c>
      <c r="AK154" s="6"/>
      <c r="AM154" s="1">
        <v>151.42500000000001</v>
      </c>
      <c r="AN154" s="1">
        <v>5.5289999999999999</v>
      </c>
      <c r="AP154" s="1">
        <v>151.47499999999999</v>
      </c>
      <c r="AQ154" s="1">
        <v>-3.76</v>
      </c>
      <c r="AS154" s="1">
        <v>151.393</v>
      </c>
      <c r="AT154" s="1">
        <v>-2.5840000000000001</v>
      </c>
    </row>
    <row r="155" spans="2:46" x14ac:dyDescent="0.2">
      <c r="B155" s="1">
        <v>152.62100000000001</v>
      </c>
      <c r="C155" s="1">
        <v>11.933999999999999</v>
      </c>
      <c r="E155" s="1">
        <v>152.49299999999999</v>
      </c>
      <c r="F155" s="1">
        <v>7.5410000000000004</v>
      </c>
      <c r="H155" s="1">
        <v>152.506</v>
      </c>
      <c r="I155" s="1">
        <v>6.3445</v>
      </c>
      <c r="J155" s="6"/>
      <c r="K155" s="1">
        <v>152.40899999999999</v>
      </c>
      <c r="L155" s="1">
        <v>8.7494999999999994</v>
      </c>
      <c r="N155" s="1">
        <v>152.529</v>
      </c>
      <c r="O155" s="1">
        <v>1.1040000000000001</v>
      </c>
      <c r="Q155" s="1">
        <v>152.42500000000001</v>
      </c>
      <c r="R155" s="1">
        <v>0.121</v>
      </c>
      <c r="S155" s="6"/>
      <c r="T155" s="1">
        <v>152.387</v>
      </c>
      <c r="U155" s="1">
        <v>0.1585</v>
      </c>
      <c r="W155" s="1">
        <v>152.44499999999999</v>
      </c>
      <c r="X155" s="1">
        <v>0.17549999999999999</v>
      </c>
      <c r="Z155" s="1">
        <v>152.41499999999999</v>
      </c>
      <c r="AA155" s="1">
        <v>0.89649999999999996</v>
      </c>
      <c r="AB155" s="6"/>
      <c r="AC155" s="1">
        <v>152.422</v>
      </c>
      <c r="AD155" s="1">
        <v>-2.0379999999999998</v>
      </c>
      <c r="AF155" s="1">
        <v>152.477</v>
      </c>
      <c r="AG155" s="1">
        <v>-1.5660000000000001</v>
      </c>
      <c r="AI155" s="1">
        <v>152.48599999999999</v>
      </c>
      <c r="AJ155" s="1">
        <v>-2.3835000000000002</v>
      </c>
      <c r="AK155" s="6"/>
      <c r="AM155" s="1">
        <v>152.43299999999999</v>
      </c>
      <c r="AN155" s="1">
        <v>5.4465000000000003</v>
      </c>
      <c r="AP155" s="1">
        <v>152.48099999999999</v>
      </c>
      <c r="AQ155" s="1">
        <v>-3.7614999999999998</v>
      </c>
      <c r="AS155" s="1">
        <v>152.398</v>
      </c>
      <c r="AT155" s="1">
        <v>-2.6644999999999999</v>
      </c>
    </row>
    <row r="156" spans="2:46" x14ac:dyDescent="0.2">
      <c r="B156" s="1">
        <v>153.626</v>
      </c>
      <c r="C156" s="1">
        <v>11.8645</v>
      </c>
      <c r="E156" s="1">
        <v>153.5</v>
      </c>
      <c r="F156" s="1">
        <v>7.46</v>
      </c>
      <c r="H156" s="1">
        <v>153.51499999999999</v>
      </c>
      <c r="I156" s="1">
        <v>6.2759999999999998</v>
      </c>
      <c r="J156" s="6"/>
      <c r="K156" s="1">
        <v>153.41200000000001</v>
      </c>
      <c r="L156" s="1">
        <v>8.6534999999999993</v>
      </c>
      <c r="N156" s="1">
        <v>153.535</v>
      </c>
      <c r="O156" s="1">
        <v>1.0245</v>
      </c>
      <c r="Q156" s="1">
        <v>153.43199999999999</v>
      </c>
      <c r="R156" s="1">
        <v>0.06</v>
      </c>
      <c r="S156" s="6"/>
      <c r="T156" s="1">
        <v>153.392</v>
      </c>
      <c r="U156" s="1">
        <v>8.6999999999999994E-2</v>
      </c>
      <c r="W156" s="1">
        <v>153.44999999999999</v>
      </c>
      <c r="X156" s="1">
        <v>0.10199999999999999</v>
      </c>
      <c r="Z156" s="1">
        <v>153.423</v>
      </c>
      <c r="AA156" s="1">
        <v>0.83250000000000002</v>
      </c>
      <c r="AB156" s="6"/>
      <c r="AC156" s="1">
        <v>153.429</v>
      </c>
      <c r="AD156" s="1">
        <v>-2.1339999999999999</v>
      </c>
      <c r="AF156" s="1">
        <v>153.483</v>
      </c>
      <c r="AG156" s="1">
        <v>-1.6625000000000001</v>
      </c>
      <c r="AI156" s="1">
        <v>153.489</v>
      </c>
      <c r="AJ156" s="1">
        <v>-2.3740000000000001</v>
      </c>
      <c r="AK156" s="6"/>
      <c r="AM156" s="1">
        <v>153.44200000000001</v>
      </c>
      <c r="AN156" s="1">
        <v>5.3630000000000004</v>
      </c>
      <c r="AP156" s="1">
        <v>153.48699999999999</v>
      </c>
      <c r="AQ156" s="1">
        <v>-3.7679999999999998</v>
      </c>
      <c r="AS156" s="1">
        <v>153.40299999999999</v>
      </c>
      <c r="AT156" s="1">
        <v>-2.742</v>
      </c>
    </row>
    <row r="157" spans="2:46" x14ac:dyDescent="0.2">
      <c r="B157" s="1">
        <v>154.631</v>
      </c>
      <c r="C157" s="1">
        <v>11.798</v>
      </c>
      <c r="E157" s="1">
        <v>154.50700000000001</v>
      </c>
      <c r="F157" s="1">
        <v>7.3849999999999998</v>
      </c>
      <c r="H157" s="1">
        <v>154.52000000000001</v>
      </c>
      <c r="I157" s="1">
        <v>6.2</v>
      </c>
      <c r="J157" s="6"/>
      <c r="K157" s="1">
        <v>154.41399999999999</v>
      </c>
      <c r="L157" s="1">
        <v>8.5685000000000002</v>
      </c>
      <c r="N157" s="1">
        <v>154.54300000000001</v>
      </c>
      <c r="O157" s="1">
        <v>0.94650000000000001</v>
      </c>
      <c r="Q157" s="1">
        <v>154.43899999999999</v>
      </c>
      <c r="R157" s="1">
        <v>6.4999999999999997E-3</v>
      </c>
      <c r="S157" s="6"/>
      <c r="T157" s="1">
        <v>154.399</v>
      </c>
      <c r="U157" s="1">
        <v>2.8500000000000001E-2</v>
      </c>
      <c r="W157" s="1">
        <v>154.45400000000001</v>
      </c>
      <c r="X157" s="1">
        <v>4.5999999999999999E-2</v>
      </c>
      <c r="Z157" s="1">
        <v>154.42699999999999</v>
      </c>
      <c r="AA157" s="1">
        <v>0.76200000000000001</v>
      </c>
      <c r="AB157" s="6"/>
      <c r="AC157" s="1">
        <v>154.434</v>
      </c>
      <c r="AD157" s="1">
        <v>-2.2349999999999999</v>
      </c>
      <c r="AF157" s="1">
        <v>154.49</v>
      </c>
      <c r="AG157" s="1">
        <v>-1.7464999999999999</v>
      </c>
      <c r="AI157" s="1">
        <v>154.495</v>
      </c>
      <c r="AJ157" s="1">
        <v>-2.3620000000000001</v>
      </c>
      <c r="AK157" s="6"/>
      <c r="AM157" s="1">
        <v>154.44999999999999</v>
      </c>
      <c r="AN157" s="1">
        <v>5.282</v>
      </c>
      <c r="AP157" s="1">
        <v>154.49299999999999</v>
      </c>
      <c r="AQ157" s="1">
        <v>-3.7694999999999999</v>
      </c>
      <c r="AS157" s="1">
        <v>154.40799999999999</v>
      </c>
      <c r="AT157" s="1">
        <v>-2.82</v>
      </c>
    </row>
    <row r="158" spans="2:46" x14ac:dyDescent="0.2">
      <c r="B158" s="1">
        <v>155.63999999999999</v>
      </c>
      <c r="C158" s="1">
        <v>11.727</v>
      </c>
      <c r="E158" s="1">
        <v>155.51499999999999</v>
      </c>
      <c r="F158" s="1">
        <v>7.3</v>
      </c>
      <c r="H158" s="1">
        <v>155.52600000000001</v>
      </c>
      <c r="I158" s="1">
        <v>6.12</v>
      </c>
      <c r="J158" s="6"/>
      <c r="K158" s="1">
        <v>155.422</v>
      </c>
      <c r="L158" s="1">
        <v>8.4760000000000009</v>
      </c>
      <c r="N158" s="1">
        <v>155.548</v>
      </c>
      <c r="O158" s="1">
        <v>0.87949999999999995</v>
      </c>
      <c r="Q158" s="1">
        <v>155.446</v>
      </c>
      <c r="R158" s="1">
        <v>-4.3499999999999997E-2</v>
      </c>
      <c r="S158" s="6"/>
      <c r="T158" s="1">
        <v>155.40700000000001</v>
      </c>
      <c r="U158" s="1">
        <v>-2.3E-2</v>
      </c>
      <c r="W158" s="1">
        <v>155.458</v>
      </c>
      <c r="X158" s="1">
        <v>-1.15E-2</v>
      </c>
      <c r="Z158" s="1">
        <v>155.43299999999999</v>
      </c>
      <c r="AA158" s="1">
        <v>0.6855</v>
      </c>
      <c r="AB158" s="6"/>
      <c r="AC158" s="1">
        <v>155.43799999999999</v>
      </c>
      <c r="AD158" s="1">
        <v>-2.319</v>
      </c>
      <c r="AF158" s="1">
        <v>155.495</v>
      </c>
      <c r="AG158" s="1">
        <v>-1.8385</v>
      </c>
      <c r="AI158" s="1">
        <v>155.5</v>
      </c>
      <c r="AJ158" s="1">
        <v>-2.3574999999999999</v>
      </c>
      <c r="AK158" s="6"/>
      <c r="AM158" s="1">
        <v>155.45599999999999</v>
      </c>
      <c r="AN158" s="1">
        <v>5.1980000000000004</v>
      </c>
      <c r="AP158" s="1">
        <v>155.5</v>
      </c>
      <c r="AQ158" s="1">
        <v>-3.7719999999999998</v>
      </c>
      <c r="AS158" s="1">
        <v>155.41499999999999</v>
      </c>
      <c r="AT158" s="1">
        <v>-2.8995000000000002</v>
      </c>
    </row>
    <row r="159" spans="2:46" x14ac:dyDescent="0.2">
      <c r="B159" s="1">
        <v>156.64599999999999</v>
      </c>
      <c r="C159" s="1">
        <v>11.667999999999999</v>
      </c>
      <c r="E159" s="1">
        <v>156.52000000000001</v>
      </c>
      <c r="F159" s="1">
        <v>7.2214999999999998</v>
      </c>
      <c r="H159" s="1">
        <v>156.536</v>
      </c>
      <c r="I159" s="1">
        <v>6.0374999999999996</v>
      </c>
      <c r="J159" s="6"/>
      <c r="K159" s="1">
        <v>156.429</v>
      </c>
      <c r="L159" s="1">
        <v>8.3985000000000003</v>
      </c>
      <c r="N159" s="1">
        <v>156.55500000000001</v>
      </c>
      <c r="O159" s="1">
        <v>0.80200000000000005</v>
      </c>
      <c r="Q159" s="1">
        <v>156.45500000000001</v>
      </c>
      <c r="R159" s="1">
        <v>-0.104</v>
      </c>
      <c r="S159" s="6"/>
      <c r="T159" s="1">
        <v>156.41200000000001</v>
      </c>
      <c r="U159" s="1">
        <v>-9.0499999999999997E-2</v>
      </c>
      <c r="W159" s="1">
        <v>156.465</v>
      </c>
      <c r="X159" s="1">
        <v>-6.8000000000000005E-2</v>
      </c>
      <c r="Z159" s="1">
        <v>156.43799999999999</v>
      </c>
      <c r="AA159" s="1">
        <v>0.60799999999999998</v>
      </c>
      <c r="AB159" s="6"/>
      <c r="AC159" s="1">
        <v>156.44300000000001</v>
      </c>
      <c r="AD159" s="1">
        <v>-2.4119999999999999</v>
      </c>
      <c r="AF159" s="1">
        <v>156.50399999999999</v>
      </c>
      <c r="AG159" s="1">
        <v>-1.9135</v>
      </c>
      <c r="AI159" s="1">
        <v>156.50700000000001</v>
      </c>
      <c r="AJ159" s="1">
        <v>-2.3494999999999999</v>
      </c>
      <c r="AK159" s="6"/>
      <c r="AM159" s="1">
        <v>156.46199999999999</v>
      </c>
      <c r="AN159" s="1">
        <v>5.1165000000000003</v>
      </c>
      <c r="AP159" s="1">
        <v>156.50399999999999</v>
      </c>
      <c r="AQ159" s="1">
        <v>-3.7845</v>
      </c>
      <c r="AS159" s="1">
        <v>156.423</v>
      </c>
      <c r="AT159" s="1">
        <v>-2.9704999999999999</v>
      </c>
    </row>
    <row r="160" spans="2:46" x14ac:dyDescent="0.2">
      <c r="B160" s="1">
        <v>157.65</v>
      </c>
      <c r="C160" s="1">
        <v>11.596500000000001</v>
      </c>
      <c r="E160" s="1">
        <v>157.52699999999999</v>
      </c>
      <c r="F160" s="1">
        <v>7.1349999999999998</v>
      </c>
      <c r="H160" s="1">
        <v>157.54400000000001</v>
      </c>
      <c r="I160" s="1">
        <v>5.9560000000000004</v>
      </c>
      <c r="J160" s="6"/>
      <c r="K160" s="1">
        <v>157.435</v>
      </c>
      <c r="L160" s="1">
        <v>8.3224999999999998</v>
      </c>
      <c r="N160" s="1">
        <v>157.56100000000001</v>
      </c>
      <c r="O160" s="1">
        <v>0.73950000000000005</v>
      </c>
      <c r="Q160" s="1">
        <v>157.464</v>
      </c>
      <c r="R160" s="1">
        <v>-0.161</v>
      </c>
      <c r="S160" s="6"/>
      <c r="T160" s="1">
        <v>157.417</v>
      </c>
      <c r="U160" s="1">
        <v>-0.1605</v>
      </c>
      <c r="W160" s="1">
        <v>157.46899999999999</v>
      </c>
      <c r="X160" s="1">
        <v>-0.1285</v>
      </c>
      <c r="Z160" s="1">
        <v>157.446</v>
      </c>
      <c r="AA160" s="1">
        <v>0.53900000000000003</v>
      </c>
      <c r="AB160" s="6"/>
      <c r="AC160" s="1">
        <v>157.452</v>
      </c>
      <c r="AD160" s="1">
        <v>-2.4929999999999999</v>
      </c>
      <c r="AF160" s="1">
        <v>157.512</v>
      </c>
      <c r="AG160" s="1">
        <v>-2</v>
      </c>
      <c r="AI160" s="1">
        <v>157.51599999999999</v>
      </c>
      <c r="AJ160" s="1">
        <v>-2.347</v>
      </c>
      <c r="AK160" s="6"/>
      <c r="AM160" s="1">
        <v>157.46899999999999</v>
      </c>
      <c r="AN160" s="1">
        <v>5.0365000000000002</v>
      </c>
      <c r="AP160" s="1">
        <v>157.51300000000001</v>
      </c>
      <c r="AQ160" s="1">
        <v>-3.7875000000000001</v>
      </c>
      <c r="AS160" s="1">
        <v>157.42699999999999</v>
      </c>
      <c r="AT160" s="1">
        <v>-3.0455000000000001</v>
      </c>
    </row>
    <row r="161" spans="2:46" x14ac:dyDescent="0.2">
      <c r="B161" s="1">
        <v>158.65600000000001</v>
      </c>
      <c r="C161" s="1">
        <v>11.528</v>
      </c>
      <c r="E161" s="1">
        <v>158.53200000000001</v>
      </c>
      <c r="F161" s="1">
        <v>7.0529999999999999</v>
      </c>
      <c r="H161" s="1">
        <v>158.55000000000001</v>
      </c>
      <c r="I161" s="1">
        <v>5.8860000000000001</v>
      </c>
      <c r="J161" s="6"/>
      <c r="K161" s="1">
        <v>158.441</v>
      </c>
      <c r="L161" s="1">
        <v>8.2304999999999993</v>
      </c>
      <c r="N161" s="1">
        <v>158.56800000000001</v>
      </c>
      <c r="O161" s="1">
        <v>0.66749999999999998</v>
      </c>
      <c r="Q161" s="1">
        <v>158.47</v>
      </c>
      <c r="R161" s="1">
        <v>-0.214</v>
      </c>
      <c r="S161" s="6"/>
      <c r="T161" s="1">
        <v>158.422</v>
      </c>
      <c r="U161" s="1">
        <v>-0.224</v>
      </c>
      <c r="W161" s="1">
        <v>158.47800000000001</v>
      </c>
      <c r="X161" s="1">
        <v>-0.20449999999999999</v>
      </c>
      <c r="Z161" s="1">
        <v>158.45400000000001</v>
      </c>
      <c r="AA161" s="1">
        <v>0.46650000000000003</v>
      </c>
      <c r="AB161" s="6"/>
      <c r="AC161" s="1">
        <v>158.459</v>
      </c>
      <c r="AD161" s="1">
        <v>-2.5764999999999998</v>
      </c>
      <c r="AF161" s="1">
        <v>158.518</v>
      </c>
      <c r="AG161" s="1">
        <v>-2.0825</v>
      </c>
      <c r="AI161" s="1">
        <v>158.523</v>
      </c>
      <c r="AJ161" s="1">
        <v>-2.3450000000000002</v>
      </c>
      <c r="AK161" s="6"/>
      <c r="AM161" s="1">
        <v>158.48099999999999</v>
      </c>
      <c r="AN161" s="1">
        <v>4.9565000000000001</v>
      </c>
      <c r="AP161" s="1">
        <v>158.52199999999999</v>
      </c>
      <c r="AQ161" s="1">
        <v>-3.798</v>
      </c>
      <c r="AS161" s="1">
        <v>158.434</v>
      </c>
      <c r="AT161" s="1">
        <v>-3.1259999999999999</v>
      </c>
    </row>
    <row r="162" spans="2:46" x14ac:dyDescent="0.2">
      <c r="B162" s="1">
        <v>159.661</v>
      </c>
      <c r="C162" s="1">
        <v>11.458</v>
      </c>
      <c r="E162" s="1">
        <v>159.53800000000001</v>
      </c>
      <c r="F162" s="1">
        <v>6.9755000000000003</v>
      </c>
      <c r="H162" s="1">
        <v>159.55699999999999</v>
      </c>
      <c r="I162" s="1">
        <v>5.8090000000000002</v>
      </c>
      <c r="J162" s="6"/>
      <c r="K162" s="1">
        <v>159.447</v>
      </c>
      <c r="L162" s="1">
        <v>8.1415000000000006</v>
      </c>
      <c r="N162" s="1">
        <v>159.57499999999999</v>
      </c>
      <c r="O162" s="1">
        <v>0.59299999999999997</v>
      </c>
      <c r="Q162" s="1">
        <v>159.47800000000001</v>
      </c>
      <c r="R162" s="1">
        <v>-0.27550000000000002</v>
      </c>
      <c r="S162" s="6"/>
      <c r="T162" s="1">
        <v>159.42400000000001</v>
      </c>
      <c r="U162" s="1">
        <v>-0.28899999999999998</v>
      </c>
      <c r="W162" s="1">
        <v>159.482</v>
      </c>
      <c r="X162" s="1">
        <v>-0.26</v>
      </c>
      <c r="Z162" s="1">
        <v>159.459</v>
      </c>
      <c r="AA162" s="1">
        <v>0.40300000000000002</v>
      </c>
      <c r="AB162" s="6"/>
      <c r="AC162" s="1">
        <v>159.46299999999999</v>
      </c>
      <c r="AD162" s="1">
        <v>-2.6575000000000002</v>
      </c>
      <c r="AF162" s="1">
        <v>159.523</v>
      </c>
      <c r="AG162" s="1">
        <v>-2.1795</v>
      </c>
      <c r="AI162" s="1">
        <v>159.529</v>
      </c>
      <c r="AJ162" s="1">
        <v>-2.339</v>
      </c>
      <c r="AK162" s="6"/>
      <c r="AM162" s="1">
        <v>159.49100000000001</v>
      </c>
      <c r="AN162" s="1">
        <v>4.8680000000000003</v>
      </c>
      <c r="AP162" s="1">
        <v>159.529</v>
      </c>
      <c r="AQ162" s="1">
        <v>-3.7965</v>
      </c>
      <c r="AS162" s="1">
        <v>159.43899999999999</v>
      </c>
      <c r="AT162" s="1">
        <v>-3.2014999999999998</v>
      </c>
    </row>
    <row r="163" spans="2:46" x14ac:dyDescent="0.2">
      <c r="B163" s="1">
        <v>160.666</v>
      </c>
      <c r="C163" s="1">
        <v>11.388999999999999</v>
      </c>
      <c r="E163" s="1">
        <v>160.54499999999999</v>
      </c>
      <c r="F163" s="1">
        <v>6.8925000000000001</v>
      </c>
      <c r="H163" s="1">
        <v>160.56399999999999</v>
      </c>
      <c r="I163" s="1">
        <v>5.7374999999999998</v>
      </c>
      <c r="J163" s="6"/>
      <c r="K163" s="1">
        <v>160.45400000000001</v>
      </c>
      <c r="L163" s="1">
        <v>8.0465</v>
      </c>
      <c r="N163" s="1">
        <v>160.584</v>
      </c>
      <c r="O163" s="1">
        <v>0.50700000000000001</v>
      </c>
      <c r="Q163" s="1">
        <v>160.483</v>
      </c>
      <c r="R163" s="1">
        <v>-0.33700000000000002</v>
      </c>
      <c r="S163" s="6"/>
      <c r="T163" s="1">
        <v>160.429</v>
      </c>
      <c r="U163" s="1">
        <v>-0.34899999999999998</v>
      </c>
      <c r="W163" s="1">
        <v>160.48599999999999</v>
      </c>
      <c r="X163" s="1">
        <v>-0.31900000000000001</v>
      </c>
      <c r="Z163" s="1">
        <v>160.464</v>
      </c>
      <c r="AA163" s="1">
        <v>0.32700000000000001</v>
      </c>
      <c r="AB163" s="6"/>
      <c r="AC163" s="1">
        <v>160.46899999999999</v>
      </c>
      <c r="AD163" s="1">
        <v>-2.7480000000000002</v>
      </c>
      <c r="AF163" s="1">
        <v>160.52699999999999</v>
      </c>
      <c r="AG163" s="1">
        <v>-2.2625000000000002</v>
      </c>
      <c r="AI163" s="1">
        <v>160.535</v>
      </c>
      <c r="AJ163" s="1">
        <v>-2.3464999999999998</v>
      </c>
      <c r="AK163" s="6"/>
      <c r="AM163" s="1">
        <v>160.501</v>
      </c>
      <c r="AN163" s="1">
        <v>4.7854999999999999</v>
      </c>
      <c r="AP163" s="1">
        <v>160.536</v>
      </c>
      <c r="AQ163" s="1">
        <v>-3.8025000000000002</v>
      </c>
      <c r="AS163" s="1">
        <v>160.44399999999999</v>
      </c>
      <c r="AT163" s="1">
        <v>-3.2745000000000002</v>
      </c>
    </row>
    <row r="164" spans="2:46" x14ac:dyDescent="0.2">
      <c r="B164" s="1">
        <v>161.66999999999999</v>
      </c>
      <c r="C164" s="1">
        <v>11.321999999999999</v>
      </c>
      <c r="E164" s="1">
        <v>161.55199999999999</v>
      </c>
      <c r="F164" s="1">
        <v>6.8109999999999999</v>
      </c>
      <c r="H164" s="1">
        <v>161.572</v>
      </c>
      <c r="I164" s="1">
        <v>5.6565000000000003</v>
      </c>
      <c r="J164" s="6"/>
      <c r="K164" s="1">
        <v>161.46</v>
      </c>
      <c r="L164" s="1">
        <v>7.9604999999999997</v>
      </c>
      <c r="N164" s="1">
        <v>161.589</v>
      </c>
      <c r="O164" s="1">
        <v>0.4345</v>
      </c>
      <c r="Q164" s="1">
        <v>161.488</v>
      </c>
      <c r="R164" s="1">
        <v>-0.39350000000000002</v>
      </c>
      <c r="S164" s="6"/>
      <c r="T164" s="1">
        <v>161.43799999999999</v>
      </c>
      <c r="U164" s="1">
        <v>-0.42249999999999999</v>
      </c>
      <c r="W164" s="1">
        <v>161.49299999999999</v>
      </c>
      <c r="X164" s="1">
        <v>-0.38</v>
      </c>
      <c r="Z164" s="1">
        <v>161.47</v>
      </c>
      <c r="AA164" s="1">
        <v>0.25700000000000001</v>
      </c>
      <c r="AB164" s="6"/>
      <c r="AC164" s="1">
        <v>161.477</v>
      </c>
      <c r="AD164" s="1">
        <v>-2.84</v>
      </c>
      <c r="AF164" s="1">
        <v>161.53299999999999</v>
      </c>
      <c r="AG164" s="1">
        <v>-2.34</v>
      </c>
      <c r="AI164" s="1">
        <v>161.541</v>
      </c>
      <c r="AJ164" s="1">
        <v>-2.3464999999999998</v>
      </c>
      <c r="AK164" s="6"/>
      <c r="AM164" s="1">
        <v>161.50800000000001</v>
      </c>
      <c r="AN164" s="1">
        <v>4.7009999999999996</v>
      </c>
      <c r="AP164" s="1">
        <v>161.541</v>
      </c>
      <c r="AQ164" s="1">
        <v>-3.8025000000000002</v>
      </c>
      <c r="AS164" s="1">
        <v>161.44999999999999</v>
      </c>
      <c r="AT164" s="1">
        <v>-3.3454999999999999</v>
      </c>
    </row>
    <row r="165" spans="2:46" x14ac:dyDescent="0.2">
      <c r="B165" s="1">
        <v>162.67400000000001</v>
      </c>
      <c r="C165" s="1">
        <v>11.2575</v>
      </c>
      <c r="E165" s="1">
        <v>162.55799999999999</v>
      </c>
      <c r="F165" s="1">
        <v>6.7294999999999998</v>
      </c>
      <c r="H165" s="1">
        <v>162.57499999999999</v>
      </c>
      <c r="I165" s="1">
        <v>5.5869999999999997</v>
      </c>
      <c r="J165" s="6"/>
      <c r="K165" s="1">
        <v>162.46600000000001</v>
      </c>
      <c r="L165" s="1">
        <v>7.8689999999999998</v>
      </c>
      <c r="N165" s="1">
        <v>162.59200000000001</v>
      </c>
      <c r="O165" s="1">
        <v>0.3695</v>
      </c>
      <c r="Q165" s="1">
        <v>162.495</v>
      </c>
      <c r="R165" s="1">
        <v>-0.443</v>
      </c>
      <c r="S165" s="6"/>
      <c r="T165" s="1">
        <v>162.44499999999999</v>
      </c>
      <c r="U165" s="1">
        <v>-0.48</v>
      </c>
      <c r="W165" s="1">
        <v>162.49799999999999</v>
      </c>
      <c r="X165" s="1">
        <v>-0.434</v>
      </c>
      <c r="Z165" s="1">
        <v>162.476</v>
      </c>
      <c r="AA165" s="1">
        <v>0.193</v>
      </c>
      <c r="AB165" s="6"/>
      <c r="AC165" s="1">
        <v>162.48699999999999</v>
      </c>
      <c r="AD165" s="1">
        <v>-2.9355000000000002</v>
      </c>
      <c r="AF165" s="1">
        <v>162.53700000000001</v>
      </c>
      <c r="AG165" s="1">
        <v>-2.4255</v>
      </c>
      <c r="AI165" s="1">
        <v>162.54499999999999</v>
      </c>
      <c r="AJ165" s="1">
        <v>-2.3519999999999999</v>
      </c>
      <c r="AK165" s="6"/>
      <c r="AM165" s="1">
        <v>162.51599999999999</v>
      </c>
      <c r="AN165" s="1">
        <v>4.62</v>
      </c>
      <c r="AP165" s="1">
        <v>162.54599999999999</v>
      </c>
      <c r="AQ165" s="1">
        <v>-3.8045</v>
      </c>
      <c r="AS165" s="1">
        <v>162.458</v>
      </c>
      <c r="AT165" s="1">
        <v>-3.4039999999999999</v>
      </c>
    </row>
    <row r="166" spans="2:46" x14ac:dyDescent="0.2">
      <c r="B166" s="1">
        <v>163.679</v>
      </c>
      <c r="C166" s="1">
        <v>11.188000000000001</v>
      </c>
      <c r="E166" s="1">
        <v>163.56399999999999</v>
      </c>
      <c r="F166" s="1">
        <v>6.6550000000000002</v>
      </c>
      <c r="H166" s="1">
        <v>163.58000000000001</v>
      </c>
      <c r="I166" s="1">
        <v>5.5164999999999997</v>
      </c>
      <c r="J166" s="6"/>
      <c r="K166" s="1">
        <v>163.47200000000001</v>
      </c>
      <c r="L166" s="1">
        <v>7.7865000000000002</v>
      </c>
      <c r="N166" s="1">
        <v>163.59899999999999</v>
      </c>
      <c r="O166" s="1">
        <v>0.29299999999999998</v>
      </c>
      <c r="Q166" s="1">
        <v>163.499</v>
      </c>
      <c r="R166" s="1">
        <v>-0.4965</v>
      </c>
      <c r="S166" s="6"/>
      <c r="T166" s="1">
        <v>163.452</v>
      </c>
      <c r="U166" s="1">
        <v>-0.53700000000000003</v>
      </c>
      <c r="W166" s="1">
        <v>163.50399999999999</v>
      </c>
      <c r="X166" s="1">
        <v>-0.495</v>
      </c>
      <c r="Z166" s="1">
        <v>163.482</v>
      </c>
      <c r="AA166" s="1">
        <v>0.1135</v>
      </c>
      <c r="AB166" s="6"/>
      <c r="AC166" s="1">
        <v>163.49299999999999</v>
      </c>
      <c r="AD166" s="1">
        <v>-3.0219999999999998</v>
      </c>
      <c r="AF166" s="1">
        <v>163.541</v>
      </c>
      <c r="AG166" s="1">
        <v>-2.5099999999999998</v>
      </c>
      <c r="AI166" s="1">
        <v>163.55000000000001</v>
      </c>
      <c r="AJ166" s="1">
        <v>-2.3540000000000001</v>
      </c>
      <c r="AK166" s="6"/>
      <c r="AM166" s="1">
        <v>163.524</v>
      </c>
      <c r="AN166" s="1">
        <v>4.5324999999999998</v>
      </c>
      <c r="AP166" s="1">
        <v>163.55199999999999</v>
      </c>
      <c r="AQ166" s="1">
        <v>-3.8144999999999998</v>
      </c>
      <c r="AS166" s="1">
        <v>163.46299999999999</v>
      </c>
      <c r="AT166" s="1">
        <v>-3.4849999999999999</v>
      </c>
    </row>
    <row r="167" spans="2:46" x14ac:dyDescent="0.2">
      <c r="B167" s="1">
        <v>164.685</v>
      </c>
      <c r="C167" s="1">
        <v>11.1275</v>
      </c>
      <c r="E167" s="1">
        <v>164.571</v>
      </c>
      <c r="F167" s="1">
        <v>6.5685000000000002</v>
      </c>
      <c r="H167" s="1">
        <v>164.58799999999999</v>
      </c>
      <c r="I167" s="1">
        <v>5.4359999999999999</v>
      </c>
      <c r="J167" s="6"/>
      <c r="K167" s="1">
        <v>164.47900000000001</v>
      </c>
      <c r="L167" s="1">
        <v>7.6965000000000003</v>
      </c>
      <c r="N167" s="1">
        <v>164.60400000000001</v>
      </c>
      <c r="O167" s="1">
        <v>0.2135</v>
      </c>
      <c r="Q167" s="1">
        <v>164.505</v>
      </c>
      <c r="R167" s="1">
        <v>-0.54900000000000004</v>
      </c>
      <c r="S167" s="6"/>
      <c r="T167" s="1">
        <v>164.459</v>
      </c>
      <c r="U167" s="1">
        <v>-0.60450000000000004</v>
      </c>
      <c r="W167" s="1">
        <v>164.511</v>
      </c>
      <c r="X167" s="1">
        <v>-0.55000000000000004</v>
      </c>
      <c r="Z167" s="1">
        <v>164.488</v>
      </c>
      <c r="AA167" s="1">
        <v>0.04</v>
      </c>
      <c r="AB167" s="6"/>
      <c r="AC167" s="1">
        <v>164.49799999999999</v>
      </c>
      <c r="AD167" s="1">
        <v>-3.1219999999999999</v>
      </c>
      <c r="AF167" s="1">
        <v>164.547</v>
      </c>
      <c r="AG167" s="1">
        <v>-2.593</v>
      </c>
      <c r="AI167" s="1">
        <v>164.554</v>
      </c>
      <c r="AJ167" s="1">
        <v>-2.3525</v>
      </c>
      <c r="AK167" s="6"/>
      <c r="AM167" s="1">
        <v>164.53</v>
      </c>
      <c r="AN167" s="1">
        <v>4.4524999999999997</v>
      </c>
      <c r="AP167" s="1">
        <v>164.559</v>
      </c>
      <c r="AQ167" s="1">
        <v>-3.8210000000000002</v>
      </c>
      <c r="AS167" s="1">
        <v>164.46799999999999</v>
      </c>
      <c r="AT167" s="1">
        <v>-3.5644999999999998</v>
      </c>
    </row>
    <row r="168" spans="2:46" x14ac:dyDescent="0.2">
      <c r="B168" s="1">
        <v>165.69</v>
      </c>
      <c r="C168" s="1">
        <v>11.061999999999999</v>
      </c>
      <c r="E168" s="1">
        <v>165.57499999999999</v>
      </c>
      <c r="F168" s="1">
        <v>6.4870000000000001</v>
      </c>
      <c r="H168" s="1">
        <v>165.59399999999999</v>
      </c>
      <c r="I168" s="1">
        <v>5.359</v>
      </c>
      <c r="J168" s="6"/>
      <c r="K168" s="1">
        <v>165.488</v>
      </c>
      <c r="L168" s="1">
        <v>7.61</v>
      </c>
      <c r="N168" s="1">
        <v>165.61</v>
      </c>
      <c r="O168" s="1">
        <v>0.13400000000000001</v>
      </c>
      <c r="Q168" s="1">
        <v>165.512</v>
      </c>
      <c r="R168" s="1">
        <v>-0.59799999999999998</v>
      </c>
      <c r="S168" s="6"/>
      <c r="T168" s="1">
        <v>165.464</v>
      </c>
      <c r="U168" s="1">
        <v>-0.67249999999999999</v>
      </c>
      <c r="W168" s="1">
        <v>165.51599999999999</v>
      </c>
      <c r="X168" s="1">
        <v>-0.60699999999999998</v>
      </c>
      <c r="Z168" s="1">
        <v>165.49199999999999</v>
      </c>
      <c r="AA168" s="1">
        <v>-1.7500000000000002E-2</v>
      </c>
      <c r="AB168" s="6"/>
      <c r="AC168" s="1">
        <v>165.50299999999999</v>
      </c>
      <c r="AD168" s="1">
        <v>-3.2080000000000002</v>
      </c>
      <c r="AF168" s="1">
        <v>165.55500000000001</v>
      </c>
      <c r="AG168" s="1">
        <v>-2.6840000000000002</v>
      </c>
      <c r="AI168" s="1">
        <v>165.559</v>
      </c>
      <c r="AJ168" s="1">
        <v>-2.3540000000000001</v>
      </c>
      <c r="AK168" s="6"/>
      <c r="AM168" s="1">
        <v>165.53800000000001</v>
      </c>
      <c r="AN168" s="1">
        <v>4.3665000000000003</v>
      </c>
      <c r="AP168" s="1">
        <v>165.566</v>
      </c>
      <c r="AQ168" s="1">
        <v>-3.8245</v>
      </c>
      <c r="AS168" s="1">
        <v>165.47200000000001</v>
      </c>
      <c r="AT168" s="1">
        <v>-3.641</v>
      </c>
    </row>
    <row r="169" spans="2:46" x14ac:dyDescent="0.2">
      <c r="B169" s="1">
        <v>166.696</v>
      </c>
      <c r="C169" s="1">
        <v>10.991</v>
      </c>
      <c r="E169" s="1">
        <v>166.58199999999999</v>
      </c>
      <c r="F169" s="1">
        <v>6.4035000000000002</v>
      </c>
      <c r="H169" s="1">
        <v>166.6</v>
      </c>
      <c r="I169" s="1">
        <v>5.2880000000000003</v>
      </c>
      <c r="J169" s="6"/>
      <c r="K169" s="1">
        <v>166.49199999999999</v>
      </c>
      <c r="L169" s="1">
        <v>7.5125000000000002</v>
      </c>
      <c r="N169" s="1">
        <v>166.63900000000001</v>
      </c>
      <c r="O169" s="1">
        <v>5.8999999999999997E-2</v>
      </c>
      <c r="Q169" s="1">
        <v>166.51900000000001</v>
      </c>
      <c r="R169" s="1">
        <v>-0.66700000000000004</v>
      </c>
      <c r="S169" s="6"/>
      <c r="T169" s="1">
        <v>166.46700000000001</v>
      </c>
      <c r="U169" s="1">
        <v>-0.72350000000000003</v>
      </c>
      <c r="W169" s="1">
        <v>166.524</v>
      </c>
      <c r="X169" s="1">
        <v>-0.67049999999999998</v>
      </c>
      <c r="Z169" s="1">
        <v>166.499</v>
      </c>
      <c r="AA169" s="1">
        <v>-9.2999999999999999E-2</v>
      </c>
      <c r="AB169" s="6"/>
      <c r="AC169" s="1">
        <v>166.50899999999999</v>
      </c>
      <c r="AD169" s="1">
        <v>-3.2909999999999999</v>
      </c>
      <c r="AF169" s="1">
        <v>166.56200000000001</v>
      </c>
      <c r="AG169" s="1">
        <v>-2.7650000000000001</v>
      </c>
      <c r="AI169" s="1">
        <v>166.566</v>
      </c>
      <c r="AJ169" s="1">
        <v>-2.3580000000000001</v>
      </c>
      <c r="AK169" s="6"/>
      <c r="AM169" s="1">
        <v>166.54400000000001</v>
      </c>
      <c r="AN169" s="1">
        <v>4.2869999999999999</v>
      </c>
      <c r="AP169" s="1">
        <v>166.57</v>
      </c>
      <c r="AQ169" s="1">
        <v>-3.8285</v>
      </c>
      <c r="AS169" s="1">
        <v>166.47499999999999</v>
      </c>
      <c r="AT169" s="1">
        <v>-3.7050000000000001</v>
      </c>
    </row>
    <row r="170" spans="2:46" x14ac:dyDescent="0.2">
      <c r="B170" s="1">
        <v>167.69900000000001</v>
      </c>
      <c r="C170" s="1">
        <v>10.929</v>
      </c>
      <c r="E170" s="1">
        <v>167.58799999999999</v>
      </c>
      <c r="F170" s="1">
        <v>6.3150000000000004</v>
      </c>
      <c r="H170" s="1">
        <v>167.60300000000001</v>
      </c>
      <c r="I170" s="1">
        <v>5.21</v>
      </c>
      <c r="J170" s="6"/>
      <c r="K170" s="1">
        <v>167.49799999999999</v>
      </c>
      <c r="L170" s="1">
        <v>7.4264999999999999</v>
      </c>
      <c r="N170" s="1">
        <v>167.643</v>
      </c>
      <c r="O170" s="1">
        <v>-5.0000000000000001E-3</v>
      </c>
      <c r="Q170" s="1">
        <v>167.52500000000001</v>
      </c>
      <c r="R170" s="1">
        <v>-0.72199999999999998</v>
      </c>
      <c r="S170" s="6"/>
      <c r="T170" s="1">
        <v>167.47399999999999</v>
      </c>
      <c r="U170" s="1">
        <v>-0.78600000000000003</v>
      </c>
      <c r="W170" s="1">
        <v>167.53</v>
      </c>
      <c r="X170" s="1">
        <v>-0.72950000000000004</v>
      </c>
      <c r="Z170" s="1">
        <v>167.505</v>
      </c>
      <c r="AA170" s="1">
        <v>-0.156</v>
      </c>
      <c r="AB170" s="6"/>
      <c r="AC170" s="1">
        <v>167.517</v>
      </c>
      <c r="AD170" s="1">
        <v>-3.379</v>
      </c>
      <c r="AF170" s="1">
        <v>167.56800000000001</v>
      </c>
      <c r="AG170" s="1">
        <v>-2.8445</v>
      </c>
      <c r="AI170" s="1">
        <v>167.571</v>
      </c>
      <c r="AJ170" s="1">
        <v>-2.3565</v>
      </c>
      <c r="AK170" s="6"/>
      <c r="AM170" s="1">
        <v>167.54900000000001</v>
      </c>
      <c r="AN170" s="1">
        <v>4.2030000000000003</v>
      </c>
      <c r="AP170" s="1">
        <v>167.57599999999999</v>
      </c>
      <c r="AQ170" s="1">
        <v>-3.83</v>
      </c>
      <c r="AS170" s="1">
        <v>167.47900000000001</v>
      </c>
      <c r="AT170" s="1">
        <v>-3.7795000000000001</v>
      </c>
    </row>
    <row r="171" spans="2:46" x14ac:dyDescent="0.2">
      <c r="B171" s="1">
        <v>168.70400000000001</v>
      </c>
      <c r="C171" s="1">
        <v>10.858000000000001</v>
      </c>
      <c r="E171" s="1">
        <v>168.59800000000001</v>
      </c>
      <c r="F171" s="1">
        <v>6.2380000000000004</v>
      </c>
      <c r="H171" s="1">
        <v>168.60900000000001</v>
      </c>
      <c r="I171" s="1">
        <v>5.1364999999999998</v>
      </c>
      <c r="J171" s="6"/>
      <c r="K171" s="1">
        <v>168.50299999999999</v>
      </c>
      <c r="L171" s="1">
        <v>7.3360000000000003</v>
      </c>
      <c r="N171" s="1">
        <v>168.64699999999999</v>
      </c>
      <c r="O171" s="1">
        <v>-7.5499999999999998E-2</v>
      </c>
      <c r="Q171" s="1">
        <v>168.53299999999999</v>
      </c>
      <c r="R171" s="1">
        <v>-0.77649999999999997</v>
      </c>
      <c r="S171" s="6"/>
      <c r="T171" s="1">
        <v>168.47800000000001</v>
      </c>
      <c r="U171" s="1">
        <v>-0.85199999999999998</v>
      </c>
      <c r="W171" s="1">
        <v>168.53700000000001</v>
      </c>
      <c r="X171" s="1">
        <v>-0.78200000000000003</v>
      </c>
      <c r="Z171" s="1">
        <v>168.50899999999999</v>
      </c>
      <c r="AA171" s="1">
        <v>-0.219</v>
      </c>
      <c r="AB171" s="6"/>
      <c r="AC171" s="1">
        <v>168.52500000000001</v>
      </c>
      <c r="AD171" s="1">
        <v>-3.4735</v>
      </c>
      <c r="AF171" s="1">
        <v>168.571</v>
      </c>
      <c r="AG171" s="1">
        <v>-2.9295</v>
      </c>
      <c r="AI171" s="1">
        <v>168.57599999999999</v>
      </c>
      <c r="AJ171" s="1">
        <v>-2.3660000000000001</v>
      </c>
      <c r="AK171" s="6"/>
      <c r="AM171" s="1">
        <v>168.554</v>
      </c>
      <c r="AN171" s="1">
        <v>4.1130000000000004</v>
      </c>
      <c r="AP171" s="1">
        <v>168.58</v>
      </c>
      <c r="AQ171" s="1">
        <v>-3.8285</v>
      </c>
      <c r="AS171" s="1">
        <v>168.48699999999999</v>
      </c>
      <c r="AT171" s="1">
        <v>-3.8405</v>
      </c>
    </row>
    <row r="172" spans="2:46" x14ac:dyDescent="0.2">
      <c r="B172" s="1">
        <v>169.71</v>
      </c>
      <c r="C172" s="1">
        <v>10.784000000000001</v>
      </c>
      <c r="E172" s="1">
        <v>169.60599999999999</v>
      </c>
      <c r="F172" s="1">
        <v>6.1619999999999999</v>
      </c>
      <c r="H172" s="1">
        <v>169.614</v>
      </c>
      <c r="I172" s="1">
        <v>5.0629999999999997</v>
      </c>
      <c r="J172" s="6"/>
      <c r="K172" s="1">
        <v>169.50899999999999</v>
      </c>
      <c r="L172" s="1">
        <v>7.2465000000000002</v>
      </c>
      <c r="N172" s="1">
        <v>169.65199999999999</v>
      </c>
      <c r="O172" s="1">
        <v>-0.14449999999999999</v>
      </c>
      <c r="Q172" s="1">
        <v>169.53700000000001</v>
      </c>
      <c r="R172" s="1">
        <v>-0.83799999999999997</v>
      </c>
      <c r="S172" s="6"/>
      <c r="T172" s="1">
        <v>169.483</v>
      </c>
      <c r="U172" s="1">
        <v>-0.91</v>
      </c>
      <c r="W172" s="1">
        <v>169.54</v>
      </c>
      <c r="X172" s="1">
        <v>-0.84299999999999997</v>
      </c>
      <c r="Z172" s="1">
        <v>169.51400000000001</v>
      </c>
      <c r="AA172" s="1">
        <v>-0.27700000000000002</v>
      </c>
      <c r="AB172" s="6"/>
      <c r="AC172" s="1">
        <v>169.53299999999999</v>
      </c>
      <c r="AD172" s="1">
        <v>-3.5565000000000002</v>
      </c>
      <c r="AF172" s="1">
        <v>169.577</v>
      </c>
      <c r="AG172" s="1">
        <v>-3.01</v>
      </c>
      <c r="AI172" s="1">
        <v>169.58099999999999</v>
      </c>
      <c r="AJ172" s="1">
        <v>-2.3719999999999999</v>
      </c>
      <c r="AK172" s="6"/>
      <c r="AM172" s="1">
        <v>169.56100000000001</v>
      </c>
      <c r="AN172" s="1">
        <v>4.0259999999999998</v>
      </c>
      <c r="AP172" s="1">
        <v>169.58600000000001</v>
      </c>
      <c r="AQ172" s="1">
        <v>-3.8384999999999998</v>
      </c>
      <c r="AS172" s="1">
        <v>169.49299999999999</v>
      </c>
      <c r="AT172" s="1">
        <v>-3.8895</v>
      </c>
    </row>
    <row r="173" spans="2:46" x14ac:dyDescent="0.2">
      <c r="B173" s="1">
        <v>170.71600000000001</v>
      </c>
      <c r="C173" s="1">
        <v>10.717499999999999</v>
      </c>
      <c r="E173" s="1">
        <v>170.613</v>
      </c>
      <c r="F173" s="1">
        <v>6.0730000000000004</v>
      </c>
      <c r="H173" s="1">
        <v>170.62</v>
      </c>
      <c r="I173" s="1">
        <v>4.9779999999999998</v>
      </c>
      <c r="J173" s="6"/>
      <c r="K173" s="1">
        <v>170.51400000000001</v>
      </c>
      <c r="L173" s="1">
        <v>7.1589999999999998</v>
      </c>
      <c r="N173" s="1">
        <v>170.654</v>
      </c>
      <c r="O173" s="1">
        <v>-0.2175</v>
      </c>
      <c r="Q173" s="1">
        <v>170.541</v>
      </c>
      <c r="R173" s="1">
        <v>-0.90100000000000002</v>
      </c>
      <c r="S173" s="6"/>
      <c r="T173" s="1">
        <v>170.49100000000001</v>
      </c>
      <c r="U173" s="1">
        <v>-0.96750000000000003</v>
      </c>
      <c r="W173" s="1">
        <v>170.54599999999999</v>
      </c>
      <c r="X173" s="1">
        <v>-0.89449999999999996</v>
      </c>
      <c r="Z173" s="1">
        <v>170.51900000000001</v>
      </c>
      <c r="AA173" s="1">
        <v>-0.34250000000000003</v>
      </c>
      <c r="AB173" s="6"/>
      <c r="AC173" s="1">
        <v>170.53899999999999</v>
      </c>
      <c r="AD173" s="1">
        <v>-3.6324999999999998</v>
      </c>
      <c r="AF173" s="1">
        <v>170.583</v>
      </c>
      <c r="AG173" s="1">
        <v>-3.0924999999999998</v>
      </c>
      <c r="AI173" s="1">
        <v>170.58500000000001</v>
      </c>
      <c r="AJ173" s="1">
        <v>-2.375</v>
      </c>
      <c r="AK173" s="6"/>
      <c r="AM173" s="1">
        <v>170.566</v>
      </c>
      <c r="AN173" s="1">
        <v>3.9430000000000001</v>
      </c>
      <c r="AP173" s="1">
        <v>170.59</v>
      </c>
      <c r="AQ173" s="1">
        <v>-3.8439999999999999</v>
      </c>
      <c r="AS173" s="1">
        <v>170.49799999999999</v>
      </c>
      <c r="AT173" s="1">
        <v>-3.9350000000000001</v>
      </c>
    </row>
    <row r="174" spans="2:46" x14ac:dyDescent="0.2">
      <c r="B174" s="1">
        <v>171.72300000000001</v>
      </c>
      <c r="C174" s="1">
        <v>10.653</v>
      </c>
      <c r="E174" s="1">
        <v>171.61799999999999</v>
      </c>
      <c r="F174" s="1">
        <v>5.9870000000000001</v>
      </c>
      <c r="H174" s="1">
        <v>171.626</v>
      </c>
      <c r="I174" s="1">
        <v>4.9055</v>
      </c>
      <c r="J174" s="6"/>
      <c r="K174" s="1">
        <v>171.517</v>
      </c>
      <c r="L174" s="1">
        <v>7.0715000000000003</v>
      </c>
      <c r="N174" s="1">
        <v>171.65799999999999</v>
      </c>
      <c r="O174" s="1">
        <v>-0.29299999999999998</v>
      </c>
      <c r="Q174" s="1">
        <v>171.54599999999999</v>
      </c>
      <c r="R174" s="1">
        <v>-0.96</v>
      </c>
      <c r="S174" s="6"/>
      <c r="T174" s="1">
        <v>171.49799999999999</v>
      </c>
      <c r="U174" s="1">
        <v>-1.036</v>
      </c>
      <c r="W174" s="1">
        <v>171.55099999999999</v>
      </c>
      <c r="X174" s="1">
        <v>-0.94450000000000001</v>
      </c>
      <c r="Z174" s="1">
        <v>171.523</v>
      </c>
      <c r="AA174" s="1">
        <v>-0.40649999999999997</v>
      </c>
      <c r="AB174" s="6"/>
      <c r="AC174" s="1">
        <v>171.54300000000001</v>
      </c>
      <c r="AD174" s="1">
        <v>-3.7229999999999999</v>
      </c>
      <c r="AF174" s="1">
        <v>171.589</v>
      </c>
      <c r="AG174" s="1">
        <v>-3.177</v>
      </c>
      <c r="AI174" s="1">
        <v>171.59</v>
      </c>
      <c r="AJ174" s="1">
        <v>-2.383</v>
      </c>
      <c r="AK174" s="6"/>
      <c r="AM174" s="1">
        <v>171.57300000000001</v>
      </c>
      <c r="AN174" s="1">
        <v>3.8620000000000001</v>
      </c>
      <c r="AP174" s="1">
        <v>171.59800000000001</v>
      </c>
      <c r="AQ174" s="1">
        <v>-3.8424999999999998</v>
      </c>
      <c r="AS174" s="1">
        <v>171.50399999999999</v>
      </c>
      <c r="AT174" s="1">
        <v>-3.97</v>
      </c>
    </row>
    <row r="175" spans="2:46" x14ac:dyDescent="0.2">
      <c r="B175" s="1">
        <v>172.73</v>
      </c>
      <c r="C175" s="1">
        <v>10.586499999999999</v>
      </c>
      <c r="E175" s="1">
        <v>172.62200000000001</v>
      </c>
      <c r="F175" s="1">
        <v>5.9</v>
      </c>
      <c r="H175" s="1">
        <v>172.631</v>
      </c>
      <c r="I175" s="1">
        <v>4.83</v>
      </c>
      <c r="J175" s="6"/>
      <c r="K175" s="1">
        <v>172.52</v>
      </c>
      <c r="L175" s="1">
        <v>6.99</v>
      </c>
      <c r="N175" s="1">
        <v>172.66300000000001</v>
      </c>
      <c r="O175" s="1">
        <v>-0.35649999999999998</v>
      </c>
      <c r="Q175" s="1">
        <v>172.55099999999999</v>
      </c>
      <c r="R175" s="1">
        <v>-1.006</v>
      </c>
      <c r="S175" s="6"/>
      <c r="T175" s="1">
        <v>172.50299999999999</v>
      </c>
      <c r="U175" s="1">
        <v>-1.099</v>
      </c>
      <c r="W175" s="1">
        <v>172.55799999999999</v>
      </c>
      <c r="X175" s="1">
        <v>-1.004</v>
      </c>
      <c r="Z175" s="1">
        <v>172.53</v>
      </c>
      <c r="AA175" s="1">
        <v>-0.47299999999999998</v>
      </c>
      <c r="AB175" s="6"/>
      <c r="AC175" s="1">
        <v>172.54900000000001</v>
      </c>
      <c r="AD175" s="1">
        <v>-3.81</v>
      </c>
      <c r="AF175" s="1">
        <v>172.59399999999999</v>
      </c>
      <c r="AG175" s="1">
        <v>-3.2574999999999998</v>
      </c>
      <c r="AI175" s="1">
        <v>172.595</v>
      </c>
      <c r="AJ175" s="1">
        <v>-2.3809999999999998</v>
      </c>
      <c r="AK175" s="6"/>
      <c r="AM175" s="1">
        <v>172.57900000000001</v>
      </c>
      <c r="AN175" s="1">
        <v>3.7785000000000002</v>
      </c>
      <c r="AP175" s="1">
        <v>172.60400000000001</v>
      </c>
      <c r="AQ175" s="1">
        <v>-3.8454999999999999</v>
      </c>
      <c r="AS175" s="1">
        <v>172.511</v>
      </c>
      <c r="AT175" s="1">
        <v>-3.9845000000000002</v>
      </c>
    </row>
    <row r="176" spans="2:46" x14ac:dyDescent="0.2">
      <c r="B176" s="1">
        <v>173.73599999999999</v>
      </c>
      <c r="C176" s="1">
        <v>10.521000000000001</v>
      </c>
      <c r="E176" s="1">
        <v>173.625</v>
      </c>
      <c r="F176" s="1">
        <v>5.8274999999999997</v>
      </c>
      <c r="H176" s="1">
        <v>173.63499999999999</v>
      </c>
      <c r="I176" s="1">
        <v>4.7595000000000001</v>
      </c>
      <c r="J176" s="6"/>
      <c r="K176" s="1">
        <v>173.52600000000001</v>
      </c>
      <c r="L176" s="1">
        <v>6.9024999999999999</v>
      </c>
      <c r="N176" s="1">
        <v>173.667</v>
      </c>
      <c r="O176" s="1">
        <v>-0.437</v>
      </c>
      <c r="Q176" s="1">
        <v>173.56100000000001</v>
      </c>
      <c r="R176" s="1">
        <v>-1.0694999999999999</v>
      </c>
      <c r="S176" s="6"/>
      <c r="T176" s="1">
        <v>173.50800000000001</v>
      </c>
      <c r="U176" s="1">
        <v>-1.1665000000000001</v>
      </c>
      <c r="W176" s="1">
        <v>173.565</v>
      </c>
      <c r="X176" s="1">
        <v>-1.048</v>
      </c>
      <c r="Z176" s="1">
        <v>173.53800000000001</v>
      </c>
      <c r="AA176" s="1">
        <v>-0.53400000000000003</v>
      </c>
      <c r="AB176" s="6"/>
      <c r="AC176" s="1">
        <v>173.554</v>
      </c>
      <c r="AD176" s="1">
        <v>-3.9020000000000001</v>
      </c>
      <c r="AF176" s="1">
        <v>173.59899999999999</v>
      </c>
      <c r="AG176" s="1">
        <v>-3.3435000000000001</v>
      </c>
      <c r="AI176" s="1">
        <v>173.602</v>
      </c>
      <c r="AJ176" s="1">
        <v>-2.387</v>
      </c>
      <c r="AK176" s="6"/>
      <c r="AM176" s="1">
        <v>173.58500000000001</v>
      </c>
      <c r="AN176" s="1">
        <v>3.7035</v>
      </c>
      <c r="AP176" s="1">
        <v>173.613</v>
      </c>
      <c r="AQ176" s="1">
        <v>-3.8454999999999999</v>
      </c>
      <c r="AS176" s="1">
        <v>173.517</v>
      </c>
      <c r="AT176" s="1">
        <v>-3.9860000000000002</v>
      </c>
    </row>
    <row r="177" spans="2:46" x14ac:dyDescent="0.2">
      <c r="B177" s="1">
        <v>174.74</v>
      </c>
      <c r="C177" s="1">
        <v>10.459</v>
      </c>
      <c r="E177" s="1">
        <v>174.63</v>
      </c>
      <c r="F177" s="1">
        <v>5.7489999999999997</v>
      </c>
      <c r="H177" s="1">
        <v>174.64099999999999</v>
      </c>
      <c r="I177" s="1">
        <v>4.6805000000000003</v>
      </c>
      <c r="J177" s="6"/>
      <c r="K177" s="1">
        <v>174.53200000000001</v>
      </c>
      <c r="L177" s="1">
        <v>6.81</v>
      </c>
      <c r="N177" s="1">
        <v>174.672</v>
      </c>
      <c r="O177" s="1">
        <v>-0.51100000000000001</v>
      </c>
      <c r="Q177" s="1">
        <v>174.57</v>
      </c>
      <c r="R177" s="1">
        <v>-1.1200000000000001</v>
      </c>
      <c r="S177" s="6"/>
      <c r="T177" s="1">
        <v>174.51300000000001</v>
      </c>
      <c r="U177" s="1">
        <v>-1.2324999999999999</v>
      </c>
      <c r="W177" s="1">
        <v>174.57400000000001</v>
      </c>
      <c r="X177" s="1">
        <v>-1.0965</v>
      </c>
      <c r="Z177" s="1">
        <v>174.54400000000001</v>
      </c>
      <c r="AA177" s="1">
        <v>-0.60399999999999998</v>
      </c>
      <c r="AB177" s="6"/>
      <c r="AC177" s="1">
        <v>174.56100000000001</v>
      </c>
      <c r="AD177" s="1">
        <v>-3.9929999999999999</v>
      </c>
      <c r="AF177" s="1">
        <v>174.613</v>
      </c>
      <c r="AG177" s="1">
        <v>-3.4304999999999999</v>
      </c>
      <c r="AI177" s="1">
        <v>174.60599999999999</v>
      </c>
      <c r="AJ177" s="1">
        <v>-2.3815</v>
      </c>
      <c r="AK177" s="6"/>
      <c r="AM177" s="1">
        <v>174.589</v>
      </c>
      <c r="AN177" s="1">
        <v>3.62</v>
      </c>
      <c r="AP177" s="1">
        <v>174.62</v>
      </c>
      <c r="AQ177" s="1">
        <v>-3.85</v>
      </c>
      <c r="AS177" s="1">
        <v>174.52500000000001</v>
      </c>
      <c r="AT177" s="1">
        <v>-3.9805000000000001</v>
      </c>
    </row>
    <row r="178" spans="2:46" x14ac:dyDescent="0.2">
      <c r="B178" s="1">
        <v>175.745</v>
      </c>
      <c r="C178" s="1">
        <v>10.39</v>
      </c>
      <c r="E178" s="1">
        <v>175.636</v>
      </c>
      <c r="F178" s="1">
        <v>5.6675000000000004</v>
      </c>
      <c r="H178" s="1">
        <v>175.648</v>
      </c>
      <c r="I178" s="1">
        <v>4.6174999999999997</v>
      </c>
      <c r="J178" s="6"/>
      <c r="K178" s="1">
        <v>175.54</v>
      </c>
      <c r="L178" s="1">
        <v>6.7249999999999996</v>
      </c>
      <c r="N178" s="1">
        <v>175.678</v>
      </c>
      <c r="O178" s="1">
        <v>-0.57950000000000002</v>
      </c>
      <c r="Q178" s="1">
        <v>175.57599999999999</v>
      </c>
      <c r="R178" s="1">
        <v>-1.1805000000000001</v>
      </c>
      <c r="S178" s="6"/>
      <c r="T178" s="1">
        <v>175.517</v>
      </c>
      <c r="U178" s="1">
        <v>-1.288</v>
      </c>
      <c r="W178" s="1">
        <v>175.57900000000001</v>
      </c>
      <c r="X178" s="1">
        <v>-1.1525000000000001</v>
      </c>
      <c r="Z178" s="1">
        <v>175.553</v>
      </c>
      <c r="AA178" s="1">
        <v>-0.67249999999999999</v>
      </c>
      <c r="AB178" s="6"/>
      <c r="AC178" s="1">
        <v>175.56899999999999</v>
      </c>
      <c r="AD178" s="1">
        <v>-4.0845000000000002</v>
      </c>
      <c r="AF178" s="1">
        <v>175.61799999999999</v>
      </c>
      <c r="AG178" s="1">
        <v>-3.5145</v>
      </c>
      <c r="AI178" s="1">
        <v>175.60900000000001</v>
      </c>
      <c r="AJ178" s="1">
        <v>-2.3895</v>
      </c>
      <c r="AK178" s="6"/>
      <c r="AM178" s="1">
        <v>175.59700000000001</v>
      </c>
      <c r="AN178" s="1">
        <v>3.5325000000000002</v>
      </c>
      <c r="AP178" s="1">
        <v>175.626</v>
      </c>
      <c r="AQ178" s="1">
        <v>-3.8490000000000002</v>
      </c>
      <c r="AS178" s="1">
        <v>175.53100000000001</v>
      </c>
      <c r="AT178" s="1">
        <v>-3.9649999999999999</v>
      </c>
    </row>
    <row r="179" spans="2:46" x14ac:dyDescent="0.2">
      <c r="B179" s="1">
        <v>176.749</v>
      </c>
      <c r="C179" s="1">
        <v>10.324</v>
      </c>
      <c r="E179" s="1">
        <v>176.643</v>
      </c>
      <c r="F179" s="1">
        <v>5.5834999999999999</v>
      </c>
      <c r="H179" s="1">
        <v>176.655</v>
      </c>
      <c r="I179" s="1">
        <v>4.5395000000000003</v>
      </c>
      <c r="J179" s="6"/>
      <c r="K179" s="1">
        <v>176.54400000000001</v>
      </c>
      <c r="L179" s="1">
        <v>6.6334999999999997</v>
      </c>
      <c r="N179" s="1">
        <v>176.68199999999999</v>
      </c>
      <c r="O179" s="1">
        <v>-0.64049999999999996</v>
      </c>
      <c r="Q179" s="1">
        <v>176.58099999999999</v>
      </c>
      <c r="R179" s="1">
        <v>-1.2435</v>
      </c>
      <c r="S179" s="6"/>
      <c r="T179" s="1">
        <v>176.52199999999999</v>
      </c>
      <c r="U179" s="1">
        <v>-1.3545</v>
      </c>
      <c r="W179" s="1">
        <v>176.583</v>
      </c>
      <c r="X179" s="1">
        <v>-1.2035</v>
      </c>
      <c r="Z179" s="1">
        <v>176.55799999999999</v>
      </c>
      <c r="AA179" s="1">
        <v>-0.74299999999999999</v>
      </c>
      <c r="AB179" s="6"/>
      <c r="AC179" s="1">
        <v>176.57300000000001</v>
      </c>
      <c r="AD179" s="1">
        <v>-4.181</v>
      </c>
      <c r="AF179" s="1">
        <v>176.626</v>
      </c>
      <c r="AG179" s="1">
        <v>-3.5960000000000001</v>
      </c>
      <c r="AI179" s="1">
        <v>176.614</v>
      </c>
      <c r="AJ179" s="1">
        <v>-2.3955000000000002</v>
      </c>
      <c r="AK179" s="6"/>
      <c r="AM179" s="1">
        <v>176.60599999999999</v>
      </c>
      <c r="AN179" s="1">
        <v>3.4460000000000002</v>
      </c>
      <c r="AP179" s="1">
        <v>176.631</v>
      </c>
      <c r="AQ179" s="1">
        <v>-3.8544999999999998</v>
      </c>
      <c r="AS179" s="1">
        <v>176.54</v>
      </c>
      <c r="AT179" s="1">
        <v>-3.9295</v>
      </c>
    </row>
    <row r="180" spans="2:46" x14ac:dyDescent="0.2">
      <c r="B180" s="1">
        <v>177.755</v>
      </c>
      <c r="C180" s="1">
        <v>10.253</v>
      </c>
      <c r="E180" s="1">
        <v>177.64699999999999</v>
      </c>
      <c r="F180" s="1">
        <v>5.5019999999999998</v>
      </c>
      <c r="H180" s="1">
        <v>177.661</v>
      </c>
      <c r="I180" s="1">
        <v>4.4705000000000004</v>
      </c>
      <c r="J180" s="6"/>
      <c r="K180" s="1">
        <v>177.54900000000001</v>
      </c>
      <c r="L180" s="1">
        <v>6.5425000000000004</v>
      </c>
      <c r="N180" s="1">
        <v>177.68700000000001</v>
      </c>
      <c r="O180" s="1">
        <v>-0.70399999999999996</v>
      </c>
      <c r="Q180" s="1">
        <v>177.584</v>
      </c>
      <c r="R180" s="1">
        <v>-1.294</v>
      </c>
      <c r="S180" s="6"/>
      <c r="T180" s="1">
        <v>177.52699999999999</v>
      </c>
      <c r="U180" s="1">
        <v>-1.423</v>
      </c>
      <c r="W180" s="1">
        <v>177.58799999999999</v>
      </c>
      <c r="X180" s="1">
        <v>-1.2524999999999999</v>
      </c>
      <c r="Z180" s="1">
        <v>177.56700000000001</v>
      </c>
      <c r="AA180" s="1">
        <v>-0.80100000000000005</v>
      </c>
      <c r="AB180" s="6"/>
      <c r="AC180" s="1">
        <v>177.57900000000001</v>
      </c>
      <c r="AD180" s="1">
        <v>-4.2619999999999996</v>
      </c>
      <c r="AF180" s="1">
        <v>177.63200000000001</v>
      </c>
      <c r="AG180" s="1">
        <v>-3.6865000000000001</v>
      </c>
      <c r="AI180" s="1">
        <v>177.62100000000001</v>
      </c>
      <c r="AJ180" s="1">
        <v>-2.3944999999999999</v>
      </c>
      <c r="AK180" s="6"/>
      <c r="AM180" s="1">
        <v>177.614</v>
      </c>
      <c r="AN180" s="1">
        <v>3.3610000000000002</v>
      </c>
      <c r="AP180" s="1">
        <v>177.636</v>
      </c>
      <c r="AQ180" s="1">
        <v>-3.8570000000000002</v>
      </c>
      <c r="AS180" s="1">
        <v>177.55</v>
      </c>
      <c r="AT180" s="1">
        <v>-3.8915000000000002</v>
      </c>
    </row>
    <row r="181" spans="2:46" x14ac:dyDescent="0.2">
      <c r="B181" s="1">
        <v>178.76</v>
      </c>
      <c r="C181" s="1">
        <v>10.19</v>
      </c>
      <c r="E181" s="1">
        <v>178.65199999999999</v>
      </c>
      <c r="F181" s="1">
        <v>5.4104999999999999</v>
      </c>
      <c r="H181" s="1">
        <v>178.66499999999999</v>
      </c>
      <c r="I181" s="1">
        <v>4.3914999999999997</v>
      </c>
      <c r="J181" s="6"/>
      <c r="K181" s="1">
        <v>178.55600000000001</v>
      </c>
      <c r="L181" s="1">
        <v>6.4560000000000004</v>
      </c>
      <c r="N181" s="1">
        <v>178.69499999999999</v>
      </c>
      <c r="O181" s="1">
        <v>-0.76700000000000002</v>
      </c>
      <c r="Q181" s="1">
        <v>178.59</v>
      </c>
      <c r="R181" s="1">
        <v>-1.351</v>
      </c>
      <c r="S181" s="6"/>
      <c r="T181" s="1">
        <v>178.53200000000001</v>
      </c>
      <c r="U181" s="1">
        <v>-1.4890000000000001</v>
      </c>
      <c r="W181" s="1">
        <v>178.595</v>
      </c>
      <c r="X181" s="1">
        <v>-1.2929999999999999</v>
      </c>
      <c r="Z181" s="1">
        <v>178.57499999999999</v>
      </c>
      <c r="AA181" s="1">
        <v>-0.86199999999999999</v>
      </c>
      <c r="AB181" s="6"/>
      <c r="AC181" s="1">
        <v>178.584</v>
      </c>
      <c r="AD181" s="1">
        <v>-4.3514999999999997</v>
      </c>
      <c r="AF181" s="1">
        <v>178.63900000000001</v>
      </c>
      <c r="AG181" s="1">
        <v>-3.7690000000000001</v>
      </c>
      <c r="AI181" s="1">
        <v>178.625</v>
      </c>
      <c r="AJ181" s="1">
        <v>-2.3929999999999998</v>
      </c>
      <c r="AK181" s="6"/>
      <c r="AM181" s="1">
        <v>178.619</v>
      </c>
      <c r="AN181" s="1">
        <v>3.2730000000000001</v>
      </c>
      <c r="AP181" s="1">
        <v>178.642</v>
      </c>
      <c r="AQ181" s="1">
        <v>-3.8610000000000002</v>
      </c>
      <c r="AS181" s="1">
        <v>178.55799999999999</v>
      </c>
      <c r="AT181" s="1">
        <v>-3.8595000000000002</v>
      </c>
    </row>
    <row r="182" spans="2:46" x14ac:dyDescent="0.2">
      <c r="B182" s="1">
        <v>179.767</v>
      </c>
      <c r="C182" s="1">
        <v>10.125500000000001</v>
      </c>
      <c r="E182" s="1">
        <v>179.65799999999999</v>
      </c>
      <c r="F182" s="1">
        <v>5.3280000000000003</v>
      </c>
      <c r="H182" s="1">
        <v>179.67</v>
      </c>
      <c r="I182" s="1">
        <v>4.3155000000000001</v>
      </c>
      <c r="J182" s="6"/>
      <c r="K182" s="1">
        <v>179.56200000000001</v>
      </c>
      <c r="L182" s="1">
        <v>6.3650000000000002</v>
      </c>
      <c r="N182" s="1">
        <v>179.702</v>
      </c>
      <c r="O182" s="1">
        <v>-0.83450000000000002</v>
      </c>
      <c r="Q182" s="1">
        <v>179.595</v>
      </c>
      <c r="R182" s="1">
        <v>-1.407</v>
      </c>
      <c r="S182" s="6"/>
      <c r="T182" s="1">
        <v>179.536</v>
      </c>
      <c r="U182" s="1">
        <v>-1.548</v>
      </c>
      <c r="W182" s="1">
        <v>179.60300000000001</v>
      </c>
      <c r="X182" s="1">
        <v>-1.3380000000000001</v>
      </c>
      <c r="Z182" s="1">
        <v>179.58199999999999</v>
      </c>
      <c r="AA182" s="1">
        <v>-0.92600000000000005</v>
      </c>
      <c r="AB182" s="6"/>
      <c r="AC182" s="1">
        <v>179.59</v>
      </c>
      <c r="AD182" s="1">
        <v>-4.4284999999999997</v>
      </c>
      <c r="AF182" s="1">
        <v>179.64699999999999</v>
      </c>
      <c r="AG182" s="1">
        <v>-3.855</v>
      </c>
      <c r="AI182" s="1">
        <v>179.631</v>
      </c>
      <c r="AJ182" s="1">
        <v>-2.391</v>
      </c>
      <c r="AK182" s="6"/>
      <c r="AM182" s="1">
        <v>179.625</v>
      </c>
      <c r="AN182" s="1">
        <v>3.1890000000000001</v>
      </c>
      <c r="AP182" s="1">
        <v>179.648</v>
      </c>
      <c r="AQ182" s="1">
        <v>-3.859</v>
      </c>
      <c r="AS182" s="1">
        <v>179.56299999999999</v>
      </c>
      <c r="AT182" s="1">
        <v>-3.8210000000000002</v>
      </c>
    </row>
    <row r="183" spans="2:46" x14ac:dyDescent="0.2">
      <c r="B183" s="1">
        <v>180.774</v>
      </c>
      <c r="C183" s="1">
        <v>10.061500000000001</v>
      </c>
      <c r="E183" s="1">
        <v>180.66399999999999</v>
      </c>
      <c r="F183" s="1">
        <v>5.2439999999999998</v>
      </c>
      <c r="H183" s="1">
        <v>180.67400000000001</v>
      </c>
      <c r="I183" s="1">
        <v>4.2370000000000001</v>
      </c>
      <c r="J183" s="6"/>
      <c r="K183" s="1">
        <v>180.56899999999999</v>
      </c>
      <c r="L183" s="1">
        <v>6.2634999999999996</v>
      </c>
      <c r="N183" s="1">
        <v>180.709</v>
      </c>
      <c r="O183" s="1">
        <v>-0.89600000000000002</v>
      </c>
      <c r="Q183" s="1">
        <v>180.6</v>
      </c>
      <c r="R183" s="1">
        <v>-1.4555</v>
      </c>
      <c r="S183" s="6"/>
      <c r="T183" s="1">
        <v>180.548</v>
      </c>
      <c r="U183" s="1">
        <v>-1.6040000000000001</v>
      </c>
      <c r="W183" s="1">
        <v>180.607</v>
      </c>
      <c r="X183" s="1">
        <v>-1.379</v>
      </c>
      <c r="Z183" s="1">
        <v>180.589</v>
      </c>
      <c r="AA183" s="1">
        <v>-0.97799999999999998</v>
      </c>
      <c r="AB183" s="6"/>
      <c r="AC183" s="1">
        <v>180.59399999999999</v>
      </c>
      <c r="AD183" s="1">
        <v>-4.5129999999999999</v>
      </c>
      <c r="AF183" s="1">
        <v>180.654</v>
      </c>
      <c r="AG183" s="1">
        <v>-3.9255</v>
      </c>
      <c r="AI183" s="1">
        <v>180.636</v>
      </c>
      <c r="AJ183" s="1">
        <v>-2.391</v>
      </c>
      <c r="AK183" s="6"/>
      <c r="AM183" s="1">
        <v>180.63200000000001</v>
      </c>
      <c r="AN183" s="1">
        <v>3.1114999999999999</v>
      </c>
      <c r="AP183" s="1">
        <v>180.65199999999999</v>
      </c>
      <c r="AQ183" s="1">
        <v>-3.8664999999999998</v>
      </c>
      <c r="AS183" s="1">
        <v>180.56800000000001</v>
      </c>
      <c r="AT183" s="1">
        <v>-3.7829999999999999</v>
      </c>
    </row>
    <row r="184" spans="2:46" x14ac:dyDescent="0.2">
      <c r="B184" s="1">
        <v>181.78</v>
      </c>
      <c r="C184" s="1">
        <v>9.9964999999999993</v>
      </c>
      <c r="E184" s="1">
        <v>181.667</v>
      </c>
      <c r="F184" s="1">
        <v>5.165</v>
      </c>
      <c r="H184" s="1">
        <v>181.679</v>
      </c>
      <c r="I184" s="1">
        <v>4.1619999999999999</v>
      </c>
      <c r="J184" s="6"/>
      <c r="K184" s="1">
        <v>181.57499999999999</v>
      </c>
      <c r="L184" s="1">
        <v>6.1820000000000004</v>
      </c>
      <c r="N184" s="1">
        <v>181.71700000000001</v>
      </c>
      <c r="O184" s="1">
        <v>-0.96550000000000002</v>
      </c>
      <c r="Q184" s="1">
        <v>181.60400000000001</v>
      </c>
      <c r="R184" s="1">
        <v>-1.5169999999999999</v>
      </c>
      <c r="S184" s="6"/>
      <c r="T184" s="1">
        <v>181.553</v>
      </c>
      <c r="U184" s="1">
        <v>-1.6705000000000001</v>
      </c>
      <c r="W184" s="1">
        <v>181.61199999999999</v>
      </c>
      <c r="X184" s="1">
        <v>-1.4175</v>
      </c>
      <c r="Z184" s="1">
        <v>181.59200000000001</v>
      </c>
      <c r="AA184" s="1">
        <v>-1.0289999999999999</v>
      </c>
      <c r="AB184" s="6"/>
      <c r="AC184" s="1">
        <v>181.602</v>
      </c>
      <c r="AD184" s="1">
        <v>-4.6085000000000003</v>
      </c>
      <c r="AF184" s="1">
        <v>181.66</v>
      </c>
      <c r="AG184" s="1">
        <v>-3.9889999999999999</v>
      </c>
      <c r="AI184" s="1">
        <v>181.64400000000001</v>
      </c>
      <c r="AJ184" s="1">
        <v>-2.3940000000000001</v>
      </c>
      <c r="AK184" s="6"/>
      <c r="AM184" s="1">
        <v>181.64099999999999</v>
      </c>
      <c r="AN184" s="1">
        <v>3.0289999999999999</v>
      </c>
      <c r="AS184" s="1">
        <v>181.57400000000001</v>
      </c>
      <c r="AT184" s="1">
        <v>-3.75</v>
      </c>
    </row>
    <row r="185" spans="2:46" x14ac:dyDescent="0.2">
      <c r="B185" s="1">
        <v>182.786</v>
      </c>
      <c r="C185" s="1">
        <v>9.9405000000000001</v>
      </c>
      <c r="E185" s="1">
        <v>182.67599999999999</v>
      </c>
      <c r="F185" s="1">
        <v>5.0860000000000003</v>
      </c>
      <c r="H185" s="1">
        <v>182.68799999999999</v>
      </c>
      <c r="I185" s="1">
        <v>4.0869999999999997</v>
      </c>
      <c r="J185" s="6"/>
      <c r="K185" s="1">
        <v>182.58099999999999</v>
      </c>
      <c r="L185" s="1">
        <v>6.1085000000000003</v>
      </c>
      <c r="N185" s="1">
        <v>182.72200000000001</v>
      </c>
      <c r="O185" s="1">
        <v>-1.0309999999999999</v>
      </c>
      <c r="Q185" s="1">
        <v>182.61099999999999</v>
      </c>
      <c r="R185" s="1">
        <v>-1.5620000000000001</v>
      </c>
      <c r="S185" s="6"/>
      <c r="T185" s="1">
        <v>182.55699999999999</v>
      </c>
      <c r="U185" s="1">
        <v>-1.7250000000000001</v>
      </c>
      <c r="W185" s="1">
        <v>182.62</v>
      </c>
      <c r="X185" s="1">
        <v>-1.458</v>
      </c>
      <c r="Z185" s="1">
        <v>182.59700000000001</v>
      </c>
      <c r="AA185" s="1">
        <v>-1.08</v>
      </c>
      <c r="AB185" s="6"/>
      <c r="AC185" s="1">
        <v>182.60900000000001</v>
      </c>
      <c r="AD185" s="1">
        <v>-4.6909999999999998</v>
      </c>
      <c r="AF185" s="1">
        <v>182.666</v>
      </c>
      <c r="AG185" s="1">
        <v>-4.0759999999999996</v>
      </c>
      <c r="AI185" s="1">
        <v>182.65299999999999</v>
      </c>
      <c r="AJ185" s="1">
        <v>-2.4009999999999998</v>
      </c>
      <c r="AK185" s="6"/>
      <c r="AM185" s="1">
        <v>182.65199999999999</v>
      </c>
      <c r="AN185" s="1">
        <v>2.9489999999999998</v>
      </c>
      <c r="AS185" s="1">
        <v>182.57900000000001</v>
      </c>
      <c r="AT185" s="1">
        <v>-3.7254999999999998</v>
      </c>
    </row>
    <row r="186" spans="2:46" x14ac:dyDescent="0.2">
      <c r="B186" s="1">
        <v>183.79400000000001</v>
      </c>
      <c r="C186" s="1">
        <v>9.8740000000000006</v>
      </c>
      <c r="E186" s="1">
        <v>183.68299999999999</v>
      </c>
      <c r="F186" s="1">
        <v>4.9969999999999999</v>
      </c>
      <c r="H186" s="1">
        <v>183.69499999999999</v>
      </c>
      <c r="I186" s="1">
        <v>4.0140000000000002</v>
      </c>
      <c r="J186" s="6"/>
      <c r="K186" s="1">
        <v>183.58699999999999</v>
      </c>
      <c r="L186" s="1">
        <v>6.0190000000000001</v>
      </c>
      <c r="N186" s="1">
        <v>183.726</v>
      </c>
      <c r="O186" s="1">
        <v>-1.091</v>
      </c>
      <c r="Q186" s="1">
        <v>183.61600000000001</v>
      </c>
      <c r="R186" s="1">
        <v>-1.637</v>
      </c>
      <c r="S186" s="6"/>
      <c r="T186" s="1">
        <v>183.56299999999999</v>
      </c>
      <c r="U186" s="1">
        <v>-1.7785</v>
      </c>
      <c r="W186" s="1">
        <v>183.625</v>
      </c>
      <c r="X186" s="1">
        <v>-1.494</v>
      </c>
      <c r="Z186" s="1">
        <v>183.60300000000001</v>
      </c>
      <c r="AA186" s="1">
        <v>-1.1365000000000001</v>
      </c>
      <c r="AB186" s="6"/>
      <c r="AC186" s="1">
        <v>183.613</v>
      </c>
      <c r="AD186" s="1">
        <v>-4.7789999999999999</v>
      </c>
      <c r="AF186" s="1">
        <v>183.672</v>
      </c>
      <c r="AG186" s="1">
        <v>-4.1115000000000004</v>
      </c>
      <c r="AI186" s="1">
        <v>183.661</v>
      </c>
      <c r="AJ186" s="1">
        <v>-2.403</v>
      </c>
      <c r="AK186" s="6"/>
      <c r="AM186" s="1">
        <v>183.65899999999999</v>
      </c>
      <c r="AN186" s="1">
        <v>2.8679999999999999</v>
      </c>
      <c r="AS186" s="1">
        <v>183.58699999999999</v>
      </c>
      <c r="AT186" s="1">
        <v>-3.7120000000000002</v>
      </c>
    </row>
    <row r="187" spans="2:46" x14ac:dyDescent="0.2">
      <c r="B187" s="1">
        <v>184.79900000000001</v>
      </c>
      <c r="C187" s="1">
        <v>9.8070000000000004</v>
      </c>
      <c r="E187" s="1">
        <v>184.68700000000001</v>
      </c>
      <c r="F187" s="1">
        <v>4.9260000000000002</v>
      </c>
      <c r="H187" s="1">
        <v>184.69900000000001</v>
      </c>
      <c r="I187" s="1">
        <v>3.9434999999999998</v>
      </c>
      <c r="J187" s="6"/>
      <c r="K187" s="1">
        <v>184.59299999999999</v>
      </c>
      <c r="L187" s="1">
        <v>5.9379999999999997</v>
      </c>
      <c r="N187" s="1">
        <v>184.73099999999999</v>
      </c>
      <c r="O187" s="1">
        <v>-1.1735</v>
      </c>
      <c r="Q187" s="1">
        <v>184.62200000000001</v>
      </c>
      <c r="R187" s="1">
        <v>-1.696</v>
      </c>
      <c r="S187" s="6"/>
      <c r="T187" s="1">
        <v>184.572</v>
      </c>
      <c r="U187" s="1">
        <v>-1.83</v>
      </c>
      <c r="W187" s="1">
        <v>184.62899999999999</v>
      </c>
      <c r="X187" s="1">
        <v>-1.5305</v>
      </c>
      <c r="Z187" s="1">
        <v>184.61099999999999</v>
      </c>
      <c r="AA187" s="1">
        <v>-1.1879999999999999</v>
      </c>
      <c r="AB187" s="6"/>
      <c r="AC187" s="1">
        <v>184.619</v>
      </c>
      <c r="AD187" s="1">
        <v>-4.8719999999999999</v>
      </c>
      <c r="AF187" s="1">
        <v>184.678</v>
      </c>
      <c r="AG187" s="1">
        <v>-4.0225</v>
      </c>
      <c r="AI187" s="1">
        <v>184.66900000000001</v>
      </c>
      <c r="AJ187" s="1">
        <v>-2.4045000000000001</v>
      </c>
      <c r="AK187" s="6"/>
      <c r="AM187" s="1">
        <v>184.66499999999999</v>
      </c>
      <c r="AN187" s="1">
        <v>2.7839999999999998</v>
      </c>
      <c r="AS187" s="1">
        <v>184.595</v>
      </c>
      <c r="AT187" s="1">
        <v>-3.7014999999999998</v>
      </c>
    </row>
    <row r="188" spans="2:46" x14ac:dyDescent="0.2">
      <c r="B188" s="1">
        <v>185.80600000000001</v>
      </c>
      <c r="C188" s="1">
        <v>9.7394999999999996</v>
      </c>
      <c r="E188" s="1">
        <v>185.69300000000001</v>
      </c>
      <c r="F188" s="1">
        <v>4.8334999999999999</v>
      </c>
      <c r="H188" s="1">
        <v>185.703</v>
      </c>
      <c r="I188" s="1">
        <v>3.8565</v>
      </c>
      <c r="J188" s="6"/>
      <c r="K188" s="1">
        <v>185.6</v>
      </c>
      <c r="L188" s="1">
        <v>5.8494999999999999</v>
      </c>
      <c r="N188" s="1">
        <v>185.739</v>
      </c>
      <c r="O188" s="1">
        <v>-1.236</v>
      </c>
      <c r="Q188" s="1">
        <v>185.62799999999999</v>
      </c>
      <c r="R188" s="1">
        <v>-1.762</v>
      </c>
      <c r="S188" s="6"/>
      <c r="T188" s="1">
        <v>185.578</v>
      </c>
      <c r="U188" s="1">
        <v>-1.8895</v>
      </c>
      <c r="W188" s="1">
        <v>185.63399999999999</v>
      </c>
      <c r="X188" s="1">
        <v>-1.5565</v>
      </c>
      <c r="Z188" s="1">
        <v>185.61799999999999</v>
      </c>
      <c r="AA188" s="1">
        <v>-1.2430000000000001</v>
      </c>
      <c r="AB188" s="6"/>
      <c r="AC188" s="1">
        <v>185.62299999999999</v>
      </c>
      <c r="AD188" s="1">
        <v>-4.9509999999999996</v>
      </c>
      <c r="AF188" s="1">
        <v>185.68199999999999</v>
      </c>
      <c r="AG188" s="1">
        <v>-3.7690000000000001</v>
      </c>
      <c r="AI188" s="1">
        <v>185.67400000000001</v>
      </c>
      <c r="AJ188" s="1">
        <v>-2.403</v>
      </c>
      <c r="AK188" s="6"/>
      <c r="AM188" s="1">
        <v>185.66800000000001</v>
      </c>
      <c r="AN188" s="1">
        <v>2.7155</v>
      </c>
      <c r="AS188" s="1">
        <v>185.602</v>
      </c>
      <c r="AT188" s="1">
        <v>-3.6850000000000001</v>
      </c>
    </row>
    <row r="189" spans="2:46" x14ac:dyDescent="0.2">
      <c r="B189" s="1">
        <v>186.81200000000001</v>
      </c>
      <c r="C189" s="1">
        <v>9.6709999999999994</v>
      </c>
      <c r="E189" s="1">
        <v>186.70099999999999</v>
      </c>
      <c r="F189" s="1">
        <v>4.7519999999999998</v>
      </c>
      <c r="H189" s="1">
        <v>186.71</v>
      </c>
      <c r="I189" s="1">
        <v>3.7909999999999999</v>
      </c>
      <c r="J189" s="6"/>
      <c r="K189" s="1">
        <v>186.60400000000001</v>
      </c>
      <c r="L189" s="1">
        <v>5.7595000000000001</v>
      </c>
      <c r="N189" s="1">
        <v>186.74600000000001</v>
      </c>
      <c r="O189" s="1">
        <v>-1.3125</v>
      </c>
      <c r="Q189" s="1">
        <v>186.63499999999999</v>
      </c>
      <c r="R189" s="1">
        <v>-1.8109999999999999</v>
      </c>
      <c r="S189" s="6"/>
      <c r="T189" s="1">
        <v>186.584</v>
      </c>
      <c r="U189" s="1">
        <v>-1.9239999999999999</v>
      </c>
      <c r="W189" s="1">
        <v>186.64</v>
      </c>
      <c r="X189" s="1">
        <v>-1.5880000000000001</v>
      </c>
      <c r="Z189" s="1">
        <v>186.624</v>
      </c>
      <c r="AA189" s="1">
        <v>-1.2915000000000001</v>
      </c>
      <c r="AB189" s="6"/>
      <c r="AC189" s="1">
        <v>186.62799999999999</v>
      </c>
      <c r="AD189" s="1">
        <v>-5.0374999999999996</v>
      </c>
      <c r="AF189" s="1">
        <v>186.68899999999999</v>
      </c>
      <c r="AG189" s="1">
        <v>-3.4649999999999999</v>
      </c>
      <c r="AI189" s="1">
        <v>186.68100000000001</v>
      </c>
      <c r="AJ189" s="1">
        <v>-2.4024999999999999</v>
      </c>
      <c r="AK189" s="6"/>
      <c r="AM189" s="1">
        <v>186.67500000000001</v>
      </c>
      <c r="AN189" s="1">
        <v>2.6320000000000001</v>
      </c>
      <c r="AS189" s="1">
        <v>186.608</v>
      </c>
      <c r="AT189" s="1">
        <v>-3.6795</v>
      </c>
    </row>
    <row r="190" spans="2:46" x14ac:dyDescent="0.2">
      <c r="B190" s="1">
        <v>187.815</v>
      </c>
      <c r="C190" s="1">
        <v>9.6140000000000008</v>
      </c>
      <c r="E190" s="1">
        <v>187.71</v>
      </c>
      <c r="F190" s="1">
        <v>4.6669999999999998</v>
      </c>
      <c r="H190" s="1">
        <v>187.71600000000001</v>
      </c>
      <c r="I190" s="1">
        <v>3.7160000000000002</v>
      </c>
      <c r="J190" s="6"/>
      <c r="K190" s="1">
        <v>187.61099999999999</v>
      </c>
      <c r="L190" s="1">
        <v>5.67</v>
      </c>
      <c r="N190" s="1">
        <v>187.75</v>
      </c>
      <c r="O190" s="1">
        <v>-1.379</v>
      </c>
      <c r="Q190" s="1">
        <v>187.64099999999999</v>
      </c>
      <c r="R190" s="1">
        <v>-1.8725000000000001</v>
      </c>
      <c r="S190" s="6"/>
      <c r="T190" s="1">
        <v>187.58799999999999</v>
      </c>
      <c r="U190" s="1">
        <v>-1.9555</v>
      </c>
      <c r="W190" s="1">
        <v>187.64400000000001</v>
      </c>
      <c r="X190" s="1">
        <v>-1.63</v>
      </c>
      <c r="Z190" s="1">
        <v>187.63</v>
      </c>
      <c r="AA190" s="1">
        <v>-1.3374999999999999</v>
      </c>
      <c r="AB190" s="6"/>
      <c r="AC190" s="1">
        <v>187.63300000000001</v>
      </c>
      <c r="AD190" s="1">
        <v>-5.125</v>
      </c>
      <c r="AF190" s="1">
        <v>187.69399999999999</v>
      </c>
      <c r="AG190" s="1">
        <v>-3.2250000000000001</v>
      </c>
      <c r="AI190" s="1">
        <v>187.685</v>
      </c>
      <c r="AJ190" s="1">
        <v>-2.4195000000000002</v>
      </c>
      <c r="AK190" s="6"/>
      <c r="AM190" s="1">
        <v>187.68</v>
      </c>
      <c r="AN190" s="1">
        <v>2.5449999999999999</v>
      </c>
      <c r="AS190" s="1">
        <v>187.613</v>
      </c>
      <c r="AT190" s="1">
        <v>-3.6655000000000002</v>
      </c>
    </row>
    <row r="191" spans="2:46" x14ac:dyDescent="0.2">
      <c r="B191" s="1">
        <v>188.82</v>
      </c>
      <c r="C191" s="1">
        <v>9.5530000000000008</v>
      </c>
      <c r="E191" s="1">
        <v>188.71600000000001</v>
      </c>
      <c r="F191" s="1">
        <v>4.5865</v>
      </c>
      <c r="H191" s="1">
        <v>188.72399999999999</v>
      </c>
      <c r="I191" s="1">
        <v>3.6465000000000001</v>
      </c>
      <c r="J191" s="6"/>
      <c r="K191" s="1">
        <v>188.61699999999999</v>
      </c>
      <c r="L191" s="1">
        <v>5.58</v>
      </c>
      <c r="N191" s="1">
        <v>188.75700000000001</v>
      </c>
      <c r="O191" s="1">
        <v>-1.4490000000000001</v>
      </c>
      <c r="Q191" s="1">
        <v>188.64699999999999</v>
      </c>
      <c r="R191" s="1">
        <v>-1.92</v>
      </c>
      <c r="S191" s="6"/>
      <c r="T191" s="1">
        <v>188.59100000000001</v>
      </c>
      <c r="U191" s="1">
        <v>-1.984</v>
      </c>
      <c r="W191" s="1">
        <v>188.648</v>
      </c>
      <c r="X191" s="1">
        <v>-1.6539999999999999</v>
      </c>
      <c r="Z191" s="1">
        <v>188.63300000000001</v>
      </c>
      <c r="AA191" s="1">
        <v>-1.377</v>
      </c>
      <c r="AB191" s="6"/>
      <c r="AC191" s="1">
        <v>188.64099999999999</v>
      </c>
      <c r="AD191" s="1">
        <v>-5.2110000000000003</v>
      </c>
      <c r="AF191" s="1">
        <v>188.70099999999999</v>
      </c>
      <c r="AG191" s="1">
        <v>-3.0459999999999998</v>
      </c>
      <c r="AI191" s="1">
        <v>188.69</v>
      </c>
      <c r="AJ191" s="1">
        <v>-2.4180000000000001</v>
      </c>
      <c r="AK191" s="6"/>
      <c r="AM191" s="1">
        <v>188.68600000000001</v>
      </c>
      <c r="AN191" s="1">
        <v>2.4590000000000001</v>
      </c>
      <c r="AS191" s="1">
        <v>188.61799999999999</v>
      </c>
      <c r="AT191" s="1">
        <v>-3.6669999999999998</v>
      </c>
    </row>
    <row r="192" spans="2:46" x14ac:dyDescent="0.2">
      <c r="B192" s="1">
        <v>189.827</v>
      </c>
      <c r="C192" s="1">
        <v>9.49</v>
      </c>
      <c r="E192" s="1">
        <v>189.72200000000001</v>
      </c>
      <c r="F192" s="1">
        <v>4.5060000000000002</v>
      </c>
      <c r="H192" s="1">
        <v>189.73</v>
      </c>
      <c r="I192" s="1">
        <v>3.5739999999999998</v>
      </c>
      <c r="J192" s="6"/>
      <c r="K192" s="1">
        <v>189.62299999999999</v>
      </c>
      <c r="L192" s="1">
        <v>5.4969999999999999</v>
      </c>
      <c r="N192" s="1">
        <v>189.762</v>
      </c>
      <c r="O192" s="1">
        <v>-1.52</v>
      </c>
      <c r="Q192" s="1">
        <v>189.65199999999999</v>
      </c>
      <c r="R192" s="1">
        <v>-1.978</v>
      </c>
      <c r="S192" s="6"/>
      <c r="T192" s="1">
        <v>189.59399999999999</v>
      </c>
      <c r="U192" s="1">
        <v>-1.992</v>
      </c>
      <c r="W192" s="1">
        <v>189.654</v>
      </c>
      <c r="X192" s="1">
        <v>-1.6775</v>
      </c>
      <c r="Z192" s="1">
        <v>189.63900000000001</v>
      </c>
      <c r="AA192" s="1">
        <v>-1.4179999999999999</v>
      </c>
      <c r="AB192" s="6"/>
      <c r="AC192" s="1">
        <v>189.649</v>
      </c>
      <c r="AD192" s="1">
        <v>-5.1680000000000001</v>
      </c>
      <c r="AF192" s="1">
        <v>189.70699999999999</v>
      </c>
      <c r="AG192" s="1">
        <v>-2.9075000000000002</v>
      </c>
      <c r="AI192" s="1">
        <v>189.696</v>
      </c>
      <c r="AJ192" s="1">
        <v>-2.4260000000000002</v>
      </c>
      <c r="AK192" s="6"/>
      <c r="AM192" s="1">
        <v>189.69200000000001</v>
      </c>
      <c r="AN192" s="1">
        <v>2.3904999999999998</v>
      </c>
      <c r="AS192" s="1">
        <v>189.624</v>
      </c>
      <c r="AT192" s="1">
        <v>-3.6675</v>
      </c>
    </row>
    <row r="193" spans="2:46" x14ac:dyDescent="0.2">
      <c r="B193" s="1">
        <v>190.833</v>
      </c>
      <c r="C193" s="1">
        <v>9.4239999999999995</v>
      </c>
      <c r="E193" s="1">
        <v>190.73</v>
      </c>
      <c r="F193" s="1">
        <v>4.4320000000000004</v>
      </c>
      <c r="H193" s="1">
        <v>190.73500000000001</v>
      </c>
      <c r="I193" s="1">
        <v>3.4870000000000001</v>
      </c>
      <c r="J193" s="6"/>
      <c r="K193" s="1">
        <v>190.63</v>
      </c>
      <c r="L193" s="1">
        <v>5.4175000000000004</v>
      </c>
      <c r="N193" s="1">
        <v>190.768</v>
      </c>
      <c r="O193" s="1">
        <v>-1.5834999999999999</v>
      </c>
      <c r="Q193" s="1">
        <v>190.65700000000001</v>
      </c>
      <c r="R193" s="1">
        <v>-2.0350000000000001</v>
      </c>
      <c r="S193" s="6"/>
      <c r="T193" s="1">
        <v>190.59700000000001</v>
      </c>
      <c r="U193" s="1">
        <v>-1.976</v>
      </c>
      <c r="W193" s="1">
        <v>190.65899999999999</v>
      </c>
      <c r="X193" s="1">
        <v>-1.7090000000000001</v>
      </c>
      <c r="Z193" s="1">
        <v>190.643</v>
      </c>
      <c r="AA193" s="1">
        <v>-1.4544999999999999</v>
      </c>
      <c r="AB193" s="6"/>
      <c r="AC193" s="1">
        <v>190.65299999999999</v>
      </c>
      <c r="AD193" s="1">
        <v>-4.6814999999999998</v>
      </c>
      <c r="AF193" s="1">
        <v>190.71299999999999</v>
      </c>
      <c r="AG193" s="1">
        <v>-2.8079999999999998</v>
      </c>
      <c r="AI193" s="1">
        <v>190.7</v>
      </c>
      <c r="AJ193" s="1">
        <v>-2.4300000000000002</v>
      </c>
      <c r="AK193" s="6"/>
      <c r="AM193" s="1">
        <v>190.69499999999999</v>
      </c>
      <c r="AN193" s="1">
        <v>2.3010000000000002</v>
      </c>
      <c r="AS193" s="1">
        <v>190.62799999999999</v>
      </c>
      <c r="AT193" s="1">
        <v>-3.6560000000000001</v>
      </c>
    </row>
    <row r="194" spans="2:46" x14ac:dyDescent="0.2">
      <c r="B194" s="1">
        <v>191.839</v>
      </c>
      <c r="C194" s="1">
        <v>9.3610000000000007</v>
      </c>
      <c r="E194" s="1">
        <v>191.738</v>
      </c>
      <c r="F194" s="1">
        <v>4.3395000000000001</v>
      </c>
      <c r="H194" s="1">
        <v>191.739</v>
      </c>
      <c r="I194" s="1">
        <v>3.42</v>
      </c>
      <c r="J194" s="6"/>
      <c r="K194" s="1">
        <v>191.63499999999999</v>
      </c>
      <c r="L194" s="1">
        <v>5.3315000000000001</v>
      </c>
      <c r="N194" s="1">
        <v>191.774</v>
      </c>
      <c r="O194" s="1">
        <v>-1.6535</v>
      </c>
      <c r="Q194" s="1">
        <v>191.66499999999999</v>
      </c>
      <c r="R194" s="1">
        <v>-2.0819999999999999</v>
      </c>
      <c r="S194" s="6"/>
      <c r="T194" s="1">
        <v>191.602</v>
      </c>
      <c r="U194" s="1">
        <v>-1.954</v>
      </c>
      <c r="W194" s="1">
        <v>191.66399999999999</v>
      </c>
      <c r="X194" s="1">
        <v>-1.7244999999999999</v>
      </c>
      <c r="Z194" s="1">
        <v>191.648</v>
      </c>
      <c r="AA194" s="1">
        <v>-1.494</v>
      </c>
      <c r="AB194" s="6"/>
      <c r="AC194" s="1">
        <v>191.65899999999999</v>
      </c>
      <c r="AD194" s="1">
        <v>-4.1470000000000002</v>
      </c>
      <c r="AF194" s="1">
        <v>191.71799999999999</v>
      </c>
      <c r="AG194" s="1">
        <v>-2.7290000000000001</v>
      </c>
      <c r="AI194" s="1">
        <v>191.70400000000001</v>
      </c>
      <c r="AJ194" s="1">
        <v>-2.4275000000000002</v>
      </c>
      <c r="AK194" s="6"/>
      <c r="AM194" s="1">
        <v>191.703</v>
      </c>
      <c r="AN194" s="1">
        <v>2.2225000000000001</v>
      </c>
      <c r="AS194" s="1">
        <v>191.63200000000001</v>
      </c>
      <c r="AT194" s="1">
        <v>-3.6545000000000001</v>
      </c>
    </row>
    <row r="195" spans="2:46" x14ac:dyDescent="0.2">
      <c r="B195" s="1">
        <v>192.84399999999999</v>
      </c>
      <c r="C195" s="1">
        <v>9.2985000000000007</v>
      </c>
      <c r="E195" s="1">
        <v>192.744</v>
      </c>
      <c r="F195" s="1">
        <v>4.2614999999999998</v>
      </c>
      <c r="H195" s="1">
        <v>192.744</v>
      </c>
      <c r="I195" s="1">
        <v>3.3450000000000002</v>
      </c>
      <c r="J195" s="6"/>
      <c r="K195" s="1">
        <v>192.64099999999999</v>
      </c>
      <c r="L195" s="1">
        <v>5.2314999999999996</v>
      </c>
      <c r="N195" s="1">
        <v>192.77799999999999</v>
      </c>
      <c r="O195" s="1">
        <v>-1.7255</v>
      </c>
      <c r="Q195" s="1">
        <v>192.66900000000001</v>
      </c>
      <c r="R195" s="1">
        <v>-2.141</v>
      </c>
      <c r="S195" s="6"/>
      <c r="T195" s="1">
        <v>192.608</v>
      </c>
      <c r="U195" s="1">
        <v>-1.9125000000000001</v>
      </c>
      <c r="W195" s="1">
        <v>192.66800000000001</v>
      </c>
      <c r="X195" s="1">
        <v>-1.736</v>
      </c>
      <c r="Z195" s="1">
        <v>192.654</v>
      </c>
      <c r="AA195" s="1">
        <v>-1.5255000000000001</v>
      </c>
      <c r="AB195" s="6"/>
      <c r="AC195" s="1">
        <v>192.66300000000001</v>
      </c>
      <c r="AD195" s="1">
        <v>-3.7475000000000001</v>
      </c>
      <c r="AF195" s="1">
        <v>192.727</v>
      </c>
      <c r="AG195" s="1">
        <v>-2.673</v>
      </c>
      <c r="AI195" s="1">
        <v>192.709</v>
      </c>
      <c r="AJ195" s="1">
        <v>-2.4344999999999999</v>
      </c>
      <c r="AK195" s="6"/>
      <c r="AM195" s="1">
        <v>192.709</v>
      </c>
      <c r="AN195" s="1">
        <v>2.1520000000000001</v>
      </c>
      <c r="AS195" s="1">
        <v>192.63900000000001</v>
      </c>
      <c r="AT195" s="1">
        <v>-3.6435</v>
      </c>
    </row>
    <row r="196" spans="2:46" x14ac:dyDescent="0.2">
      <c r="B196" s="1">
        <v>193.846</v>
      </c>
      <c r="C196" s="1">
        <v>9.2370000000000001</v>
      </c>
      <c r="E196" s="1">
        <v>193.75</v>
      </c>
      <c r="F196" s="1">
        <v>4.1784999999999997</v>
      </c>
      <c r="H196" s="1">
        <v>193.75</v>
      </c>
      <c r="I196" s="1">
        <v>3.2755000000000001</v>
      </c>
      <c r="J196" s="6"/>
      <c r="K196" s="1">
        <v>193.64699999999999</v>
      </c>
      <c r="L196" s="1">
        <v>5.1449999999999996</v>
      </c>
      <c r="N196" s="1">
        <v>193.78299999999999</v>
      </c>
      <c r="O196" s="1">
        <v>-1.8</v>
      </c>
      <c r="Q196" s="1">
        <v>193.67500000000001</v>
      </c>
      <c r="R196" s="1">
        <v>-2.2035</v>
      </c>
      <c r="S196" s="6"/>
      <c r="T196" s="1">
        <v>193.613</v>
      </c>
      <c r="U196" s="1">
        <v>-1.8525</v>
      </c>
      <c r="W196" s="1">
        <v>193.67400000000001</v>
      </c>
      <c r="X196" s="1">
        <v>-1.7509999999999999</v>
      </c>
      <c r="Z196" s="1">
        <v>193.65899999999999</v>
      </c>
      <c r="AA196" s="1">
        <v>-1.5580000000000001</v>
      </c>
      <c r="AB196" s="6"/>
      <c r="AC196" s="1">
        <v>193.666</v>
      </c>
      <c r="AD196" s="1">
        <v>-3.4670000000000001</v>
      </c>
      <c r="AF196" s="1">
        <v>193.733</v>
      </c>
      <c r="AG196" s="1">
        <v>-2.6255000000000002</v>
      </c>
      <c r="AI196" s="1">
        <v>193.71600000000001</v>
      </c>
      <c r="AJ196" s="1">
        <v>-2.4405000000000001</v>
      </c>
      <c r="AK196" s="6"/>
      <c r="AM196" s="1">
        <v>193.71600000000001</v>
      </c>
      <c r="AN196" s="1">
        <v>2.0775000000000001</v>
      </c>
      <c r="AS196" s="1">
        <v>193.64400000000001</v>
      </c>
      <c r="AT196" s="1">
        <v>-3.645</v>
      </c>
    </row>
    <row r="197" spans="2:46" x14ac:dyDescent="0.2">
      <c r="B197" s="1">
        <v>194.85</v>
      </c>
      <c r="C197" s="1">
        <v>9.1835000000000004</v>
      </c>
      <c r="E197" s="1">
        <v>194.75700000000001</v>
      </c>
      <c r="F197" s="1">
        <v>4.0990000000000002</v>
      </c>
      <c r="H197" s="1">
        <v>194.756</v>
      </c>
      <c r="I197" s="1">
        <v>3.2014999999999998</v>
      </c>
      <c r="J197" s="6"/>
      <c r="K197" s="1">
        <v>194.654</v>
      </c>
      <c r="L197" s="1">
        <v>5.0670000000000002</v>
      </c>
      <c r="N197" s="1">
        <v>194.78800000000001</v>
      </c>
      <c r="O197" s="1">
        <v>-1.8594999999999999</v>
      </c>
      <c r="Q197" s="1">
        <v>194.68</v>
      </c>
      <c r="R197" s="1">
        <v>-2.258</v>
      </c>
      <c r="S197" s="6"/>
      <c r="T197" s="1">
        <v>194.62100000000001</v>
      </c>
      <c r="U197" s="1">
        <v>-1.8075000000000001</v>
      </c>
      <c r="W197" s="1">
        <v>194.679</v>
      </c>
      <c r="X197" s="1">
        <v>-1.7635000000000001</v>
      </c>
      <c r="Z197" s="1">
        <v>194.66399999999999</v>
      </c>
      <c r="AA197" s="1">
        <v>-1.5860000000000001</v>
      </c>
      <c r="AB197" s="6"/>
      <c r="AC197" s="1">
        <v>194.67400000000001</v>
      </c>
      <c r="AD197" s="1">
        <v>-3.26</v>
      </c>
      <c r="AF197" s="1">
        <v>194.74</v>
      </c>
      <c r="AG197" s="1">
        <v>-2.5884999999999998</v>
      </c>
      <c r="AI197" s="1">
        <v>194.72</v>
      </c>
      <c r="AJ197" s="1">
        <v>-2.4474999999999998</v>
      </c>
      <c r="AK197" s="6"/>
      <c r="AM197" s="1">
        <v>194.72300000000001</v>
      </c>
      <c r="AN197" s="1">
        <v>2.0059999999999998</v>
      </c>
      <c r="AS197" s="1">
        <v>194.65100000000001</v>
      </c>
      <c r="AT197" s="1">
        <v>-3.649</v>
      </c>
    </row>
    <row r="198" spans="2:46" x14ac:dyDescent="0.2">
      <c r="B198" s="1">
        <v>195.85499999999999</v>
      </c>
      <c r="C198" s="1">
        <v>9.1210000000000004</v>
      </c>
      <c r="E198" s="1">
        <v>195.76300000000001</v>
      </c>
      <c r="F198" s="1">
        <v>4.0179999999999998</v>
      </c>
      <c r="H198" s="1">
        <v>195.76400000000001</v>
      </c>
      <c r="I198" s="1">
        <v>3.1265000000000001</v>
      </c>
      <c r="J198" s="6"/>
      <c r="K198" s="1">
        <v>195.66</v>
      </c>
      <c r="L198" s="1">
        <v>4.9710000000000001</v>
      </c>
      <c r="N198" s="1">
        <v>195.79400000000001</v>
      </c>
      <c r="O198" s="1">
        <v>-1.9319999999999999</v>
      </c>
      <c r="Q198" s="1">
        <v>195.68600000000001</v>
      </c>
      <c r="R198" s="1">
        <v>-2.3045</v>
      </c>
      <c r="S198" s="6"/>
      <c r="T198" s="1">
        <v>195.62700000000001</v>
      </c>
      <c r="U198" s="1">
        <v>-1.7649999999999999</v>
      </c>
      <c r="W198" s="1">
        <v>195.684</v>
      </c>
      <c r="X198" s="1">
        <v>-1.7629999999999999</v>
      </c>
      <c r="Z198" s="1">
        <v>195.67</v>
      </c>
      <c r="AA198" s="1">
        <v>-1.615</v>
      </c>
      <c r="AB198" s="6"/>
      <c r="AC198" s="1">
        <v>195.68</v>
      </c>
      <c r="AD198" s="1">
        <v>-3.1074999999999999</v>
      </c>
      <c r="AF198" s="1">
        <v>195.74299999999999</v>
      </c>
      <c r="AG198" s="1">
        <v>-2.5449999999999999</v>
      </c>
      <c r="AI198" s="1">
        <v>195.72900000000001</v>
      </c>
      <c r="AJ198" s="1">
        <v>-2.4529999999999998</v>
      </c>
      <c r="AK198" s="6"/>
      <c r="AM198" s="1">
        <v>195.726</v>
      </c>
      <c r="AN198" s="1">
        <v>1.92</v>
      </c>
      <c r="AS198" s="1">
        <v>195.65700000000001</v>
      </c>
      <c r="AT198" s="1">
        <v>-3.6480000000000001</v>
      </c>
    </row>
    <row r="199" spans="2:46" x14ac:dyDescent="0.2">
      <c r="B199" s="1">
        <v>196.86199999999999</v>
      </c>
      <c r="C199" s="1">
        <v>9.0579999999999998</v>
      </c>
      <c r="E199" s="1">
        <v>196.77</v>
      </c>
      <c r="F199" s="1">
        <v>3.9365000000000001</v>
      </c>
      <c r="H199" s="1">
        <v>196.773</v>
      </c>
      <c r="I199" s="1">
        <v>3.0459999999999998</v>
      </c>
      <c r="J199" s="6"/>
      <c r="K199" s="1">
        <v>196.666</v>
      </c>
      <c r="L199" s="1">
        <v>4.8840000000000003</v>
      </c>
      <c r="N199" s="1">
        <v>196.804</v>
      </c>
      <c r="O199" s="1">
        <v>-1.9990000000000001</v>
      </c>
      <c r="Q199" s="1">
        <v>196.691</v>
      </c>
      <c r="R199" s="1">
        <v>-2.3260000000000001</v>
      </c>
      <c r="S199" s="6"/>
      <c r="T199" s="1">
        <v>196.63300000000001</v>
      </c>
      <c r="U199" s="1">
        <v>-1.728</v>
      </c>
      <c r="W199" s="1">
        <v>196.68799999999999</v>
      </c>
      <c r="X199" s="1">
        <v>-1.7729999999999999</v>
      </c>
      <c r="Z199" s="1">
        <v>196.678</v>
      </c>
      <c r="AA199" s="1">
        <v>-1.643</v>
      </c>
      <c r="AB199" s="6"/>
      <c r="AC199" s="1">
        <v>196.68700000000001</v>
      </c>
      <c r="AD199" s="1">
        <v>-2.9910000000000001</v>
      </c>
      <c r="AF199" s="1">
        <v>196.749</v>
      </c>
      <c r="AG199" s="1">
        <v>-2.5165000000000002</v>
      </c>
      <c r="AI199" s="1">
        <v>196.73400000000001</v>
      </c>
      <c r="AJ199" s="1">
        <v>-2.4544999999999999</v>
      </c>
      <c r="AK199" s="6"/>
      <c r="AM199" s="1">
        <v>196.73</v>
      </c>
      <c r="AN199" s="1">
        <v>1.8394999999999999</v>
      </c>
      <c r="AS199" s="1">
        <v>196.66300000000001</v>
      </c>
      <c r="AT199" s="1">
        <v>-3.6364999999999998</v>
      </c>
    </row>
    <row r="200" spans="2:46" x14ac:dyDescent="0.2">
      <c r="B200" s="1">
        <v>197.86600000000001</v>
      </c>
      <c r="C200" s="1">
        <v>9.0039999999999996</v>
      </c>
      <c r="E200" s="1">
        <v>197.77699999999999</v>
      </c>
      <c r="F200" s="1">
        <v>3.85</v>
      </c>
      <c r="H200" s="1">
        <v>197.77799999999999</v>
      </c>
      <c r="I200" s="1">
        <v>2.9735</v>
      </c>
      <c r="J200" s="6"/>
      <c r="K200" s="1">
        <v>197.67400000000001</v>
      </c>
      <c r="L200" s="1">
        <v>4.8049999999999997</v>
      </c>
      <c r="N200" s="1">
        <v>197.81100000000001</v>
      </c>
      <c r="O200" s="1">
        <v>-2.0720000000000001</v>
      </c>
      <c r="Q200" s="1">
        <v>197.696</v>
      </c>
      <c r="R200" s="1">
        <v>-2.0485000000000002</v>
      </c>
      <c r="S200" s="6"/>
      <c r="T200" s="1">
        <v>197.64099999999999</v>
      </c>
      <c r="U200" s="1">
        <v>-1.6944999999999999</v>
      </c>
      <c r="W200" s="1">
        <v>197.69300000000001</v>
      </c>
      <c r="X200" s="1">
        <v>-1.776</v>
      </c>
      <c r="Z200" s="1">
        <v>197.684</v>
      </c>
      <c r="AA200" s="1">
        <v>-1.6559999999999999</v>
      </c>
      <c r="AB200" s="6"/>
      <c r="AC200" s="1">
        <v>197.69300000000001</v>
      </c>
      <c r="AD200" s="1">
        <v>-2.9119999999999999</v>
      </c>
      <c r="AF200" s="1">
        <v>197.756</v>
      </c>
      <c r="AG200" s="1">
        <v>-2.5005000000000002</v>
      </c>
      <c r="AI200" s="1">
        <v>197.74100000000001</v>
      </c>
      <c r="AJ200" s="1">
        <v>-2.4525000000000001</v>
      </c>
      <c r="AK200" s="6"/>
      <c r="AM200" s="1">
        <v>197.73500000000001</v>
      </c>
      <c r="AN200" s="1">
        <v>1.7595000000000001</v>
      </c>
      <c r="AS200" s="1">
        <v>197.66900000000001</v>
      </c>
      <c r="AT200" s="1">
        <v>-3.6425000000000001</v>
      </c>
    </row>
    <row r="201" spans="2:46" x14ac:dyDescent="0.2">
      <c r="B201" s="1">
        <v>198.87100000000001</v>
      </c>
      <c r="C201" s="1">
        <v>8.9425000000000008</v>
      </c>
      <c r="E201" s="1">
        <v>198.78399999999999</v>
      </c>
      <c r="F201" s="1">
        <v>3.7589999999999999</v>
      </c>
      <c r="H201" s="1">
        <v>198.78299999999999</v>
      </c>
      <c r="I201" s="1">
        <v>2.907</v>
      </c>
      <c r="J201" s="6"/>
      <c r="K201" s="1">
        <v>198.68100000000001</v>
      </c>
      <c r="L201" s="1">
        <v>4.7164999999999999</v>
      </c>
      <c r="N201" s="1">
        <v>198.82</v>
      </c>
      <c r="O201" s="1">
        <v>-2.1444999999999999</v>
      </c>
      <c r="Q201" s="1">
        <v>198.70400000000001</v>
      </c>
      <c r="R201" s="1">
        <v>-1.615</v>
      </c>
      <c r="S201" s="6"/>
      <c r="T201" s="1">
        <v>198.648</v>
      </c>
      <c r="U201" s="1">
        <v>-1.6655</v>
      </c>
      <c r="W201" s="1">
        <v>198.69900000000001</v>
      </c>
      <c r="X201" s="1">
        <v>-1.786</v>
      </c>
      <c r="Z201" s="1">
        <v>198.69</v>
      </c>
      <c r="AA201" s="1">
        <v>-1.6739999999999999</v>
      </c>
      <c r="AB201" s="6"/>
      <c r="AC201" s="1">
        <v>198.69900000000001</v>
      </c>
      <c r="AD201" s="1">
        <v>-2.859</v>
      </c>
      <c r="AF201" s="1">
        <v>198.76499999999999</v>
      </c>
      <c r="AG201" s="1">
        <v>-2.4874999999999998</v>
      </c>
      <c r="AI201" s="1">
        <v>198.74799999999999</v>
      </c>
      <c r="AJ201" s="1">
        <v>-2.4550000000000001</v>
      </c>
      <c r="AK201" s="6"/>
      <c r="AM201" s="1">
        <v>198.74199999999999</v>
      </c>
      <c r="AN201" s="1">
        <v>1.6870000000000001</v>
      </c>
      <c r="AS201" s="1">
        <v>198.67400000000001</v>
      </c>
      <c r="AT201" s="1">
        <v>-3.6469999999999998</v>
      </c>
    </row>
    <row r="202" spans="2:46" x14ac:dyDescent="0.2">
      <c r="B202" s="1">
        <v>199.87899999999999</v>
      </c>
      <c r="C202" s="1">
        <v>8.8800000000000008</v>
      </c>
      <c r="E202" s="1">
        <v>199.791</v>
      </c>
      <c r="F202" s="1">
        <v>3.6835</v>
      </c>
      <c r="H202" s="1">
        <v>199.78899999999999</v>
      </c>
      <c r="I202" s="1">
        <v>2.8264999999999998</v>
      </c>
      <c r="J202" s="6"/>
      <c r="K202" s="1">
        <v>199.68899999999999</v>
      </c>
      <c r="L202" s="1">
        <v>4.6459999999999999</v>
      </c>
      <c r="N202" s="1">
        <v>199.82900000000001</v>
      </c>
      <c r="O202" s="1">
        <v>-2.2124999999999999</v>
      </c>
      <c r="Q202" s="1">
        <v>199.708</v>
      </c>
      <c r="R202" s="1">
        <v>-1.2709999999999999</v>
      </c>
      <c r="S202" s="6"/>
      <c r="T202" s="1">
        <v>199.65299999999999</v>
      </c>
      <c r="U202" s="1">
        <v>-1.6445000000000001</v>
      </c>
      <c r="W202" s="1">
        <v>199.70400000000001</v>
      </c>
      <c r="X202" s="1">
        <v>-1.7815000000000001</v>
      </c>
      <c r="Z202" s="1">
        <v>199.69800000000001</v>
      </c>
      <c r="AA202" s="1">
        <v>-1.6825000000000001</v>
      </c>
      <c r="AB202" s="6"/>
      <c r="AC202" s="1">
        <v>199.708</v>
      </c>
      <c r="AD202" s="1">
        <v>-2.823</v>
      </c>
      <c r="AF202" s="1">
        <v>199.77199999999999</v>
      </c>
      <c r="AG202" s="1">
        <v>-2.4780000000000002</v>
      </c>
      <c r="AJ202"/>
      <c r="AK202" s="6"/>
      <c r="AM202" s="1">
        <v>199.749</v>
      </c>
      <c r="AN202" s="1">
        <v>1.6</v>
      </c>
      <c r="AS202" s="1">
        <v>199.678</v>
      </c>
      <c r="AT202" s="1">
        <v>-3.645</v>
      </c>
    </row>
    <row r="203" spans="2:46" x14ac:dyDescent="0.2">
      <c r="B203" s="1">
        <v>200.886</v>
      </c>
      <c r="C203" s="1">
        <v>8.81</v>
      </c>
      <c r="E203" s="1">
        <v>200.798</v>
      </c>
      <c r="F203" s="1">
        <v>3.6070000000000002</v>
      </c>
      <c r="H203" s="1">
        <v>200.79599999999999</v>
      </c>
      <c r="I203" s="1">
        <v>2.746</v>
      </c>
      <c r="J203" s="6"/>
      <c r="K203" s="1">
        <v>200.75899999999999</v>
      </c>
      <c r="L203" s="1">
        <v>4.5495000000000001</v>
      </c>
      <c r="N203" s="1">
        <v>200.834</v>
      </c>
      <c r="O203" s="1">
        <v>-2.2770000000000001</v>
      </c>
      <c r="Q203" s="1">
        <v>200.715</v>
      </c>
      <c r="R203" s="1">
        <v>-1.0065</v>
      </c>
      <c r="S203" s="6"/>
      <c r="T203" s="1">
        <v>200.65700000000001</v>
      </c>
      <c r="U203" s="1">
        <v>-1.6125</v>
      </c>
      <c r="W203" s="1">
        <v>200.709</v>
      </c>
      <c r="X203" s="1">
        <v>-1.792</v>
      </c>
      <c r="Z203" s="1">
        <v>200.703</v>
      </c>
      <c r="AA203" s="1">
        <v>-1.6910000000000001</v>
      </c>
      <c r="AB203" s="6"/>
      <c r="AC203" s="1">
        <v>200.71299999999999</v>
      </c>
      <c r="AD203" s="1">
        <v>-2.79</v>
      </c>
      <c r="AF203" s="1">
        <v>200.77699999999999</v>
      </c>
      <c r="AG203" s="1">
        <v>-2.4740000000000002</v>
      </c>
      <c r="AJ203"/>
      <c r="AK203" s="6"/>
      <c r="AM203" s="1">
        <v>200.755</v>
      </c>
      <c r="AN203" s="1">
        <v>1.526</v>
      </c>
      <c r="AS203" s="1">
        <v>200.68299999999999</v>
      </c>
      <c r="AT203" s="1">
        <v>-3.637</v>
      </c>
    </row>
    <row r="204" spans="2:46" x14ac:dyDescent="0.2">
      <c r="B204" s="1">
        <v>201.892</v>
      </c>
      <c r="C204" s="1">
        <v>8.7545000000000002</v>
      </c>
      <c r="E204" s="1">
        <v>201.80500000000001</v>
      </c>
      <c r="F204" s="1">
        <v>3.5285000000000002</v>
      </c>
      <c r="H204" s="1">
        <v>201.8</v>
      </c>
      <c r="I204" s="1">
        <v>2.6695000000000002</v>
      </c>
      <c r="J204" s="6"/>
      <c r="K204" s="1">
        <v>201.76499999999999</v>
      </c>
      <c r="L204" s="1">
        <v>4.468</v>
      </c>
      <c r="N204" s="1">
        <v>201.83799999999999</v>
      </c>
      <c r="O204" s="1">
        <v>-2.3504999999999998</v>
      </c>
      <c r="Q204" s="1">
        <v>201.72200000000001</v>
      </c>
      <c r="R204" s="1">
        <v>-0.82499999999999996</v>
      </c>
      <c r="S204" s="6"/>
      <c r="T204" s="1">
        <v>201.66300000000001</v>
      </c>
      <c r="U204" s="1">
        <v>-1.611</v>
      </c>
      <c r="W204" s="1">
        <v>201.71799999999999</v>
      </c>
      <c r="X204" s="1">
        <v>-1.7875000000000001</v>
      </c>
      <c r="Z204" s="1">
        <v>201.709</v>
      </c>
      <c r="AA204" s="1">
        <v>-1.6910000000000001</v>
      </c>
      <c r="AB204" s="6"/>
      <c r="AC204" s="1">
        <v>201.72</v>
      </c>
      <c r="AD204" s="1">
        <v>-2.77</v>
      </c>
      <c r="AF204" s="1">
        <v>201.78399999999999</v>
      </c>
      <c r="AG204" s="1">
        <v>-2.4630000000000001</v>
      </c>
      <c r="AJ204"/>
      <c r="AK204" s="6"/>
      <c r="AM204" s="1">
        <v>201.762</v>
      </c>
      <c r="AN204" s="1">
        <v>1.4515</v>
      </c>
      <c r="AS204" s="1">
        <v>201.68700000000001</v>
      </c>
      <c r="AT204" s="1">
        <v>-3.641</v>
      </c>
    </row>
    <row r="205" spans="2:46" x14ac:dyDescent="0.2">
      <c r="B205" s="1">
        <v>202.898</v>
      </c>
      <c r="C205" s="1">
        <v>8.6910000000000007</v>
      </c>
      <c r="E205" s="1">
        <v>202.80799999999999</v>
      </c>
      <c r="F205" s="1">
        <v>3.4489999999999998</v>
      </c>
      <c r="H205" s="1">
        <v>202.80500000000001</v>
      </c>
      <c r="I205" s="1">
        <v>2.6015000000000001</v>
      </c>
      <c r="J205" s="6"/>
      <c r="K205" s="1">
        <v>202.77199999999999</v>
      </c>
      <c r="L205" s="1">
        <v>4.3840000000000003</v>
      </c>
      <c r="N205" s="1">
        <v>202.84399999999999</v>
      </c>
      <c r="O205" s="1">
        <v>-2.4159999999999999</v>
      </c>
      <c r="Q205" s="1">
        <v>202.73099999999999</v>
      </c>
      <c r="R205" s="1">
        <v>-0.68700000000000006</v>
      </c>
      <c r="S205" s="6"/>
      <c r="T205" s="1">
        <v>202.66800000000001</v>
      </c>
      <c r="U205" s="1">
        <v>-1.6</v>
      </c>
      <c r="W205" s="1">
        <v>202.72300000000001</v>
      </c>
      <c r="X205" s="1">
        <v>-1.78</v>
      </c>
      <c r="Z205" s="1">
        <v>202.71199999999999</v>
      </c>
      <c r="AA205" s="1">
        <v>-1.7030000000000001</v>
      </c>
      <c r="AB205" s="6"/>
      <c r="AC205" s="1">
        <v>202.72399999999999</v>
      </c>
      <c r="AD205" s="1">
        <v>-2.7694999999999999</v>
      </c>
      <c r="AF205" s="1">
        <v>202.78800000000001</v>
      </c>
      <c r="AG205" s="1">
        <v>-2.4569999999999999</v>
      </c>
      <c r="AJ205"/>
      <c r="AK205" s="6"/>
      <c r="AM205" s="1">
        <v>202.76900000000001</v>
      </c>
      <c r="AN205" s="1">
        <v>1.3660000000000001</v>
      </c>
      <c r="AS205" s="1">
        <v>202.69399999999999</v>
      </c>
      <c r="AT205" s="1">
        <v>-3.657</v>
      </c>
    </row>
    <row r="206" spans="2:46" x14ac:dyDescent="0.2">
      <c r="B206" s="1">
        <v>203.90299999999999</v>
      </c>
      <c r="C206" s="1">
        <v>8.6289999999999996</v>
      </c>
      <c r="E206" s="1">
        <v>203.81200000000001</v>
      </c>
      <c r="F206" s="1">
        <v>3.3660000000000001</v>
      </c>
      <c r="H206" s="1">
        <v>203.81100000000001</v>
      </c>
      <c r="I206" s="1">
        <v>2.5230000000000001</v>
      </c>
      <c r="J206" s="6"/>
      <c r="K206" s="1">
        <v>203.77699999999999</v>
      </c>
      <c r="L206" s="1">
        <v>4.3</v>
      </c>
      <c r="N206" s="1">
        <v>203.84899999999999</v>
      </c>
      <c r="O206" s="1">
        <v>-2.4794999999999998</v>
      </c>
      <c r="Q206" s="1">
        <v>203.74</v>
      </c>
      <c r="R206" s="1">
        <v>-0.59450000000000003</v>
      </c>
      <c r="S206" s="6"/>
      <c r="T206" s="1">
        <v>203.67400000000001</v>
      </c>
      <c r="U206" s="1">
        <v>-1.585</v>
      </c>
      <c r="W206" s="1">
        <v>203.727</v>
      </c>
      <c r="X206" s="1">
        <v>-1.7829999999999999</v>
      </c>
      <c r="Z206" s="1">
        <v>203.71799999999999</v>
      </c>
      <c r="AA206" s="1">
        <v>-1.7035</v>
      </c>
      <c r="AB206" s="6"/>
      <c r="AC206" s="1">
        <v>203.73</v>
      </c>
      <c r="AD206" s="1">
        <v>-2.7725</v>
      </c>
      <c r="AF206" s="1">
        <v>203.79499999999999</v>
      </c>
      <c r="AG206" s="1">
        <v>-2.4455</v>
      </c>
      <c r="AJ206"/>
      <c r="AK206" s="6"/>
      <c r="AM206" s="1">
        <v>203.77500000000001</v>
      </c>
      <c r="AN206" s="1">
        <v>1.29</v>
      </c>
      <c r="AS206" s="1">
        <v>203.702</v>
      </c>
      <c r="AT206" s="1">
        <v>-3.6595</v>
      </c>
    </row>
    <row r="207" spans="2:46" x14ac:dyDescent="0.2">
      <c r="B207" s="1">
        <v>204.90700000000001</v>
      </c>
      <c r="C207" s="1">
        <v>8.5754999999999999</v>
      </c>
      <c r="E207" s="1">
        <v>204.81700000000001</v>
      </c>
      <c r="F207" s="1">
        <v>3.2759999999999998</v>
      </c>
      <c r="H207" s="1">
        <v>204.81800000000001</v>
      </c>
      <c r="I207" s="1">
        <v>2.4544999999999999</v>
      </c>
      <c r="J207" s="6"/>
      <c r="K207" s="1">
        <v>204.78200000000001</v>
      </c>
      <c r="L207" s="1">
        <v>4.2154999999999996</v>
      </c>
      <c r="N207" s="1">
        <v>204.858</v>
      </c>
      <c r="O207" s="1">
        <v>-2.5405000000000002</v>
      </c>
      <c r="Q207" s="1">
        <v>204.745</v>
      </c>
      <c r="R207" s="1">
        <v>-0.52449999999999997</v>
      </c>
      <c r="S207" s="6"/>
      <c r="T207" s="1">
        <v>204.68299999999999</v>
      </c>
      <c r="U207" s="1">
        <v>-1.589</v>
      </c>
      <c r="W207" s="1">
        <v>204.73400000000001</v>
      </c>
      <c r="X207" s="1">
        <v>-1.784</v>
      </c>
      <c r="Z207" s="1">
        <v>204.72300000000001</v>
      </c>
      <c r="AA207" s="1">
        <v>-1.7035</v>
      </c>
      <c r="AB207" s="6"/>
      <c r="AC207" s="1">
        <v>204.73400000000001</v>
      </c>
      <c r="AD207" s="1">
        <v>-2.7810000000000001</v>
      </c>
      <c r="AF207" s="1">
        <v>204.804</v>
      </c>
      <c r="AG207" s="1">
        <v>-2.4275000000000002</v>
      </c>
      <c r="AJ207"/>
      <c r="AK207" s="6"/>
      <c r="AM207" s="1">
        <v>204.779</v>
      </c>
      <c r="AN207" s="1">
        <v>1.202</v>
      </c>
      <c r="AS207" s="1">
        <v>204.709</v>
      </c>
      <c r="AT207" s="1">
        <v>-3.6760000000000002</v>
      </c>
    </row>
    <row r="208" spans="2:46" x14ac:dyDescent="0.2">
      <c r="B208" s="1">
        <v>205.91300000000001</v>
      </c>
      <c r="C208" s="1">
        <v>8.5139999999999993</v>
      </c>
      <c r="E208" s="1">
        <v>205.82400000000001</v>
      </c>
      <c r="F208" s="1">
        <v>3.1945000000000001</v>
      </c>
      <c r="H208" s="1">
        <v>205.82499999999999</v>
      </c>
      <c r="I208" s="1">
        <v>2.3795000000000002</v>
      </c>
      <c r="J208" s="6"/>
      <c r="K208" s="1">
        <v>205.78800000000001</v>
      </c>
      <c r="L208" s="1">
        <v>4.1325000000000003</v>
      </c>
      <c r="N208" s="1">
        <v>205.863</v>
      </c>
      <c r="O208" s="1">
        <v>-2.6145</v>
      </c>
      <c r="Q208" s="1">
        <v>205.749</v>
      </c>
      <c r="R208" s="1">
        <v>-0.46700000000000003</v>
      </c>
      <c r="S208" s="6"/>
      <c r="T208" s="1">
        <v>205.68700000000001</v>
      </c>
      <c r="U208" s="1">
        <v>-1.5794999999999999</v>
      </c>
      <c r="W208" s="1">
        <v>205.74</v>
      </c>
      <c r="X208" s="1">
        <v>-1.7755000000000001</v>
      </c>
      <c r="Z208" s="1">
        <v>205.727</v>
      </c>
      <c r="AA208" s="1">
        <v>-1.6984999999999999</v>
      </c>
      <c r="AB208" s="6"/>
      <c r="AC208" s="1">
        <v>205.74199999999999</v>
      </c>
      <c r="AD208" s="1">
        <v>-2.7894999999999999</v>
      </c>
      <c r="AF208" s="1">
        <v>205.809</v>
      </c>
      <c r="AG208" s="1">
        <v>-2.4275000000000002</v>
      </c>
      <c r="AJ208"/>
      <c r="AK208" s="6"/>
      <c r="AM208" s="1">
        <v>205.785</v>
      </c>
      <c r="AN208" s="1">
        <v>1.1315</v>
      </c>
      <c r="AS208" s="1">
        <v>205.715</v>
      </c>
      <c r="AT208" s="1">
        <v>-3.6840000000000002</v>
      </c>
    </row>
    <row r="209" spans="2:46" x14ac:dyDescent="0.2">
      <c r="B209" s="1">
        <v>206.91800000000001</v>
      </c>
      <c r="C209" s="1">
        <v>8.4664999999999999</v>
      </c>
      <c r="E209" s="1">
        <v>206.83</v>
      </c>
      <c r="F209" s="1">
        <v>3.1194999999999999</v>
      </c>
      <c r="H209" s="1">
        <v>206.83099999999999</v>
      </c>
      <c r="I209" s="1">
        <v>2.3094999999999999</v>
      </c>
      <c r="J209" s="6"/>
      <c r="K209" s="1">
        <v>206.79300000000001</v>
      </c>
      <c r="L209" s="1">
        <v>4.0430000000000001</v>
      </c>
      <c r="N209" s="1">
        <v>206.869</v>
      </c>
      <c r="O209" s="1">
        <v>-2.6905000000000001</v>
      </c>
      <c r="Q209" s="1">
        <v>206.756</v>
      </c>
      <c r="R209" s="1">
        <v>-0.42699999999999999</v>
      </c>
      <c r="S209" s="6"/>
      <c r="T209" s="1">
        <v>206.69300000000001</v>
      </c>
      <c r="U209" s="1">
        <v>-1.577</v>
      </c>
      <c r="W209" s="1">
        <v>206.74600000000001</v>
      </c>
      <c r="X209" s="1">
        <v>-1.7695000000000001</v>
      </c>
      <c r="Z209" s="1">
        <v>206.73400000000001</v>
      </c>
      <c r="AA209" s="1">
        <v>-1.6845000000000001</v>
      </c>
      <c r="AB209" s="6"/>
      <c r="AC209" s="1">
        <v>206.749</v>
      </c>
      <c r="AD209" s="1">
        <v>-2.8035000000000001</v>
      </c>
      <c r="AF209" s="1">
        <v>206.81399999999999</v>
      </c>
      <c r="AG209" s="1">
        <v>-2.431</v>
      </c>
      <c r="AJ209"/>
      <c r="AK209" s="6"/>
      <c r="AM209" s="1">
        <v>206.78899999999999</v>
      </c>
      <c r="AN209" s="1">
        <v>1.054</v>
      </c>
      <c r="AS209" s="1">
        <v>206.71700000000001</v>
      </c>
      <c r="AT209" s="1">
        <v>-3.6875</v>
      </c>
    </row>
    <row r="210" spans="2:46" x14ac:dyDescent="0.2">
      <c r="B210" s="1">
        <v>207.923</v>
      </c>
      <c r="C210" s="1">
        <v>8.4009999999999998</v>
      </c>
      <c r="E210" s="1">
        <v>207.834</v>
      </c>
      <c r="F210" s="1">
        <v>3.0409999999999999</v>
      </c>
      <c r="H210" s="1">
        <v>207.83799999999999</v>
      </c>
      <c r="I210" s="1">
        <v>2.2324999999999999</v>
      </c>
      <c r="J210" s="6"/>
      <c r="K210" s="1">
        <v>207.80099999999999</v>
      </c>
      <c r="L210" s="1">
        <v>3.956</v>
      </c>
      <c r="N210" s="1">
        <v>207.876</v>
      </c>
      <c r="O210" s="1">
        <v>-2.76</v>
      </c>
      <c r="Q210" s="1">
        <v>207.75899999999999</v>
      </c>
      <c r="R210" s="1">
        <v>-0.38700000000000001</v>
      </c>
      <c r="S210" s="6"/>
      <c r="T210" s="1">
        <v>207.69800000000001</v>
      </c>
      <c r="U210" s="1">
        <v>-1.5740000000000001</v>
      </c>
      <c r="W210" s="1">
        <v>207.75399999999999</v>
      </c>
      <c r="X210" s="1">
        <v>-1.768</v>
      </c>
      <c r="Z210" s="1">
        <v>207.738</v>
      </c>
      <c r="AA210" s="1">
        <v>-1.6679999999999999</v>
      </c>
      <c r="AB210" s="6"/>
      <c r="AC210" s="1">
        <v>207.755</v>
      </c>
      <c r="AD210" s="1">
        <v>-2.802</v>
      </c>
      <c r="AF210" s="1">
        <v>207.821</v>
      </c>
      <c r="AG210" s="1">
        <v>-2.4430000000000001</v>
      </c>
      <c r="AJ210"/>
      <c r="AK210" s="6"/>
      <c r="AM210" s="1">
        <v>207.79499999999999</v>
      </c>
      <c r="AN210" s="1">
        <v>0.97</v>
      </c>
      <c r="AS210" s="1">
        <v>207.72300000000001</v>
      </c>
      <c r="AT210" s="1">
        <v>-3.6930000000000001</v>
      </c>
    </row>
    <row r="211" spans="2:46" x14ac:dyDescent="0.2">
      <c r="B211" s="1">
        <v>208.92699999999999</v>
      </c>
      <c r="C211" s="1">
        <v>8.3520000000000003</v>
      </c>
      <c r="E211" s="1">
        <v>208.839</v>
      </c>
      <c r="F211" s="1">
        <v>2.9575</v>
      </c>
      <c r="H211" s="1">
        <v>208.84399999999999</v>
      </c>
      <c r="I211" s="1">
        <v>2.1635</v>
      </c>
      <c r="J211" s="6"/>
      <c r="K211" s="1">
        <v>208.809</v>
      </c>
      <c r="L211" s="1">
        <v>3.8769999999999998</v>
      </c>
      <c r="N211" s="1">
        <v>208.881</v>
      </c>
      <c r="O211" s="1">
        <v>-2.83</v>
      </c>
      <c r="Q211" s="1">
        <v>208.76499999999999</v>
      </c>
      <c r="R211" s="1">
        <v>-0.36549999999999999</v>
      </c>
      <c r="S211" s="6"/>
      <c r="T211" s="1">
        <v>208.703</v>
      </c>
      <c r="U211" s="1">
        <v>-1.5734999999999999</v>
      </c>
      <c r="W211" s="1">
        <v>208.76</v>
      </c>
      <c r="X211" s="1">
        <v>-1.7605</v>
      </c>
      <c r="Z211" s="1">
        <v>208.744</v>
      </c>
      <c r="AA211" s="1">
        <v>-1.653</v>
      </c>
      <c r="AB211" s="6"/>
      <c r="AC211" s="1">
        <v>208.76300000000001</v>
      </c>
      <c r="AD211" s="1">
        <v>-2.8075000000000001</v>
      </c>
      <c r="AF211" s="1">
        <v>208.827</v>
      </c>
      <c r="AG211" s="1">
        <v>-2.444</v>
      </c>
      <c r="AJ211"/>
      <c r="AK211" s="6"/>
      <c r="AM211" s="1">
        <v>208.80099999999999</v>
      </c>
      <c r="AN211" s="1">
        <v>0.89700000000000002</v>
      </c>
      <c r="AS211" s="1">
        <v>208.732</v>
      </c>
      <c r="AT211" s="1">
        <v>-3.6974999999999998</v>
      </c>
    </row>
    <row r="212" spans="2:46" x14ac:dyDescent="0.2">
      <c r="B212" s="1">
        <v>209.93100000000001</v>
      </c>
      <c r="C212" s="1">
        <v>8.2970000000000006</v>
      </c>
      <c r="E212" s="1">
        <v>209.84399999999999</v>
      </c>
      <c r="F212" s="1">
        <v>2.879</v>
      </c>
      <c r="H212" s="1">
        <v>209.852</v>
      </c>
      <c r="I212" s="1">
        <v>2.0884999999999998</v>
      </c>
      <c r="J212" s="6"/>
      <c r="K212" s="1">
        <v>209.816</v>
      </c>
      <c r="L212" s="1">
        <v>3.7919999999999998</v>
      </c>
      <c r="N212" s="1">
        <v>209.88399999999999</v>
      </c>
      <c r="O212" s="1">
        <v>-2.9</v>
      </c>
      <c r="Q212" s="1">
        <v>209.77099999999999</v>
      </c>
      <c r="R212" s="1">
        <v>-0.35499999999999998</v>
      </c>
      <c r="S212" s="6"/>
      <c r="T212" s="1">
        <v>209.71100000000001</v>
      </c>
      <c r="U212" s="1">
        <v>-1.5669999999999999</v>
      </c>
      <c r="W212" s="1">
        <v>209.76599999999999</v>
      </c>
      <c r="X212" s="1">
        <v>-1.7575000000000001</v>
      </c>
      <c r="Z212" s="1">
        <v>209.74799999999999</v>
      </c>
      <c r="AA212" s="1">
        <v>-1.6435</v>
      </c>
      <c r="AB212" s="6"/>
      <c r="AC212" s="1">
        <v>209.768</v>
      </c>
      <c r="AD212" s="1">
        <v>-2.8045</v>
      </c>
      <c r="AF212" s="1">
        <v>209.83099999999999</v>
      </c>
      <c r="AG212" s="1">
        <v>-2.4434999999999998</v>
      </c>
      <c r="AJ212"/>
      <c r="AK212" s="6"/>
      <c r="AM212" s="1">
        <v>209.80500000000001</v>
      </c>
      <c r="AN212" s="1">
        <v>0.81399999999999995</v>
      </c>
      <c r="AS212" s="1">
        <v>209.73699999999999</v>
      </c>
      <c r="AT212" s="1">
        <v>-3.7069999999999999</v>
      </c>
    </row>
    <row r="213" spans="2:46" x14ac:dyDescent="0.2">
      <c r="B213" s="1">
        <v>210.93600000000001</v>
      </c>
      <c r="C213" s="1">
        <v>8.2420000000000009</v>
      </c>
      <c r="E213" s="1">
        <v>210.84800000000001</v>
      </c>
      <c r="F213" s="1">
        <v>2.7930000000000001</v>
      </c>
      <c r="H213" s="1">
        <v>210.85499999999999</v>
      </c>
      <c r="I213" s="1">
        <v>2.0165000000000002</v>
      </c>
      <c r="J213" s="6"/>
      <c r="K213" s="1">
        <v>210.82300000000001</v>
      </c>
      <c r="L213" s="1">
        <v>3.6970000000000001</v>
      </c>
      <c r="N213" s="1">
        <v>210.89099999999999</v>
      </c>
      <c r="O213" s="1">
        <v>-2.9735</v>
      </c>
      <c r="Q213" s="1">
        <v>210.77600000000001</v>
      </c>
      <c r="R213" s="1">
        <v>-0.34250000000000003</v>
      </c>
      <c r="S213" s="6"/>
      <c r="T213" s="1">
        <v>210.721</v>
      </c>
      <c r="U213" s="1">
        <v>-1.57</v>
      </c>
      <c r="W213" s="1">
        <v>210.77099999999999</v>
      </c>
      <c r="X213" s="1">
        <v>-1.75</v>
      </c>
      <c r="Z213" s="1">
        <v>210.75399999999999</v>
      </c>
      <c r="AA213" s="1">
        <v>-1.6274999999999999</v>
      </c>
      <c r="AB213" s="6"/>
      <c r="AC213" s="1">
        <v>210.77199999999999</v>
      </c>
      <c r="AD213" s="1">
        <v>-2.8025000000000002</v>
      </c>
      <c r="AF213" s="1">
        <v>210.834</v>
      </c>
      <c r="AG213" s="1">
        <v>-2.4434999999999998</v>
      </c>
      <c r="AJ213"/>
      <c r="AK213" s="6"/>
      <c r="AM213" s="1">
        <v>210.81299999999999</v>
      </c>
      <c r="AN213" s="1">
        <v>0.73099999999999998</v>
      </c>
      <c r="AS213" s="1">
        <v>210.74299999999999</v>
      </c>
      <c r="AT213" s="1">
        <v>-3.7050000000000001</v>
      </c>
    </row>
    <row r="214" spans="2:46" x14ac:dyDescent="0.2">
      <c r="B214" s="1">
        <v>211.94</v>
      </c>
      <c r="C214" s="1">
        <v>8.173</v>
      </c>
      <c r="E214" s="1">
        <v>211.85400000000001</v>
      </c>
      <c r="F214" s="1">
        <v>2.718</v>
      </c>
      <c r="H214" s="1">
        <v>211.86</v>
      </c>
      <c r="I214" s="1">
        <v>1.944</v>
      </c>
      <c r="J214" s="6"/>
      <c r="K214" s="1">
        <v>211.828</v>
      </c>
      <c r="L214" s="1">
        <v>3.6305000000000001</v>
      </c>
      <c r="N214" s="1">
        <v>211.9</v>
      </c>
      <c r="O214" s="1">
        <v>-3.0385</v>
      </c>
      <c r="Q214" s="1">
        <v>211.78200000000001</v>
      </c>
      <c r="R214" s="1">
        <v>-0.33700000000000002</v>
      </c>
      <c r="S214" s="6"/>
      <c r="T214" s="1">
        <v>211.727</v>
      </c>
      <c r="U214" s="1">
        <v>-1.569</v>
      </c>
      <c r="W214" s="1">
        <v>211.77799999999999</v>
      </c>
      <c r="X214" s="1">
        <v>-1.7375</v>
      </c>
      <c r="Z214" s="1">
        <v>211.75800000000001</v>
      </c>
      <c r="AA214" s="1">
        <v>-1.6140000000000001</v>
      </c>
      <c r="AB214" s="6"/>
      <c r="AC214" s="1">
        <v>211.77699999999999</v>
      </c>
      <c r="AD214" s="1">
        <v>-2.8010000000000002</v>
      </c>
      <c r="AF214" s="1">
        <v>211.83799999999999</v>
      </c>
      <c r="AG214" s="1">
        <v>-2.4434999999999998</v>
      </c>
      <c r="AJ214"/>
      <c r="AK214" s="6"/>
      <c r="AM214" s="1">
        <v>211.821</v>
      </c>
      <c r="AN214" s="1">
        <v>0.65249999999999997</v>
      </c>
      <c r="AS214" s="1">
        <v>211.751</v>
      </c>
      <c r="AT214" s="1">
        <v>-3.7094999999999998</v>
      </c>
    </row>
    <row r="215" spans="2:46" x14ac:dyDescent="0.2">
      <c r="B215" s="1">
        <v>212.94499999999999</v>
      </c>
      <c r="C215" s="1">
        <v>8.1150000000000002</v>
      </c>
      <c r="E215" s="1">
        <v>212.86</v>
      </c>
      <c r="F215" s="1">
        <v>2.6360000000000001</v>
      </c>
      <c r="H215" s="1">
        <v>212.86500000000001</v>
      </c>
      <c r="I215" s="1">
        <v>1.869</v>
      </c>
      <c r="J215" s="6"/>
      <c r="K215" s="1">
        <v>212.83199999999999</v>
      </c>
      <c r="L215" s="1">
        <v>3.55</v>
      </c>
      <c r="N215" s="1">
        <v>212.90799999999999</v>
      </c>
      <c r="O215" s="1">
        <v>-3.1154999999999999</v>
      </c>
      <c r="Q215" s="1">
        <v>212.792</v>
      </c>
      <c r="R215" s="1">
        <v>-0.34</v>
      </c>
      <c r="S215" s="6"/>
      <c r="T215" s="1">
        <v>212.733</v>
      </c>
      <c r="U215" s="1">
        <v>-1.571</v>
      </c>
      <c r="W215" s="1">
        <v>212.78200000000001</v>
      </c>
      <c r="X215" s="1">
        <v>-1.7310000000000001</v>
      </c>
      <c r="Z215" s="1">
        <v>212.76400000000001</v>
      </c>
      <c r="AA215" s="1">
        <v>-1.595</v>
      </c>
      <c r="AB215" s="6"/>
      <c r="AC215" s="1">
        <v>212.78299999999999</v>
      </c>
      <c r="AD215" s="1">
        <v>-2.8079999999999998</v>
      </c>
      <c r="AF215" s="1">
        <v>212.84299999999999</v>
      </c>
      <c r="AG215" s="1">
        <v>-2.4449999999999998</v>
      </c>
      <c r="AJ215"/>
      <c r="AK215" s="6"/>
      <c r="AM215" s="1">
        <v>212.83099999999999</v>
      </c>
      <c r="AN215" s="1">
        <v>0.5675</v>
      </c>
      <c r="AS215" s="1">
        <v>212.75899999999999</v>
      </c>
      <c r="AT215" s="1">
        <v>-3.7210000000000001</v>
      </c>
    </row>
    <row r="216" spans="2:46" x14ac:dyDescent="0.2">
      <c r="B216" s="1">
        <v>213.95099999999999</v>
      </c>
      <c r="C216" s="1">
        <v>8.0585000000000004</v>
      </c>
      <c r="E216" s="1">
        <v>213.86699999999999</v>
      </c>
      <c r="F216" s="1">
        <v>2.5630000000000002</v>
      </c>
      <c r="H216" s="1">
        <v>213.874</v>
      </c>
      <c r="I216" s="1">
        <v>1.7955000000000001</v>
      </c>
      <c r="J216" s="6"/>
      <c r="K216" s="1">
        <v>213.83699999999999</v>
      </c>
      <c r="L216" s="1">
        <v>3.4769999999999999</v>
      </c>
      <c r="N216" s="1">
        <v>213.91300000000001</v>
      </c>
      <c r="O216" s="1">
        <v>-3.1865000000000001</v>
      </c>
      <c r="Q216" s="1">
        <v>213.797</v>
      </c>
      <c r="R216" s="1">
        <v>-0.34</v>
      </c>
      <c r="S216" s="6"/>
      <c r="T216" s="1">
        <v>213.73699999999999</v>
      </c>
      <c r="U216" s="1">
        <v>-1.57</v>
      </c>
      <c r="W216" s="1">
        <v>213.78899999999999</v>
      </c>
      <c r="X216" s="1">
        <v>-1.7290000000000001</v>
      </c>
      <c r="Z216" s="1">
        <v>213.77099999999999</v>
      </c>
      <c r="AA216" s="1">
        <v>-1.5820000000000001</v>
      </c>
      <c r="AB216" s="6"/>
      <c r="AC216" s="1">
        <v>213.78899999999999</v>
      </c>
      <c r="AD216" s="1">
        <v>-2.8109999999999999</v>
      </c>
      <c r="AF216" s="1">
        <v>213.84800000000001</v>
      </c>
      <c r="AG216" s="1">
        <v>-2.444</v>
      </c>
      <c r="AJ216"/>
      <c r="AK216" s="6"/>
      <c r="AM216" s="1">
        <v>213.83799999999999</v>
      </c>
      <c r="AN216" s="1">
        <v>0.48749999999999999</v>
      </c>
      <c r="AS216" s="1">
        <v>213.76400000000001</v>
      </c>
      <c r="AT216" s="1">
        <v>-3.7250000000000001</v>
      </c>
    </row>
    <row r="217" spans="2:46" x14ac:dyDescent="0.2">
      <c r="B217" s="1">
        <v>214.95400000000001</v>
      </c>
      <c r="C217" s="1">
        <v>7.992</v>
      </c>
      <c r="E217" s="1">
        <v>214.87299999999999</v>
      </c>
      <c r="F217" s="1">
        <v>2.4809999999999999</v>
      </c>
      <c r="H217" s="1">
        <v>214.87799999999999</v>
      </c>
      <c r="I217" s="1">
        <v>1.716</v>
      </c>
      <c r="J217" s="6"/>
      <c r="K217" s="1">
        <v>214.84100000000001</v>
      </c>
      <c r="L217" s="1">
        <v>3.4045000000000001</v>
      </c>
      <c r="N217" s="1">
        <v>214.917</v>
      </c>
      <c r="O217" s="1">
        <v>-3.2549999999999999</v>
      </c>
      <c r="Q217" s="1">
        <v>214.80500000000001</v>
      </c>
      <c r="R217" s="1">
        <v>-0.33700000000000002</v>
      </c>
      <c r="S217" s="6"/>
      <c r="T217" s="1">
        <v>214.74299999999999</v>
      </c>
      <c r="U217" s="1">
        <v>-1.5669999999999999</v>
      </c>
      <c r="W217" s="1">
        <v>214.79400000000001</v>
      </c>
      <c r="X217" s="1">
        <v>-1.7224999999999999</v>
      </c>
      <c r="Z217" s="1">
        <v>214.774</v>
      </c>
      <c r="AA217" s="1">
        <v>-1.569</v>
      </c>
      <c r="AB217" s="6"/>
      <c r="AC217" s="1">
        <v>214.79400000000001</v>
      </c>
      <c r="AD217" s="1">
        <v>-2.8140000000000001</v>
      </c>
      <c r="AF217" s="1">
        <v>214.85599999999999</v>
      </c>
      <c r="AG217" s="1">
        <v>-2.4460000000000002</v>
      </c>
      <c r="AJ217"/>
      <c r="AK217" s="6"/>
      <c r="AM217" s="1">
        <v>214.84399999999999</v>
      </c>
      <c r="AN217" s="1">
        <v>0.41099999999999998</v>
      </c>
      <c r="AS217" s="1">
        <v>214.76900000000001</v>
      </c>
      <c r="AT217" s="1">
        <v>-3.7254999999999998</v>
      </c>
    </row>
    <row r="218" spans="2:46" x14ac:dyDescent="0.2">
      <c r="B218" s="1">
        <v>215.96</v>
      </c>
      <c r="C218" s="1">
        <v>7.9325000000000001</v>
      </c>
      <c r="E218" s="1">
        <v>215.87799999999999</v>
      </c>
      <c r="F218" s="1">
        <v>2.4015</v>
      </c>
      <c r="H218" s="1">
        <v>215.88300000000001</v>
      </c>
      <c r="I218" s="1">
        <v>1.6459999999999999</v>
      </c>
      <c r="J218" s="6"/>
      <c r="K218" s="1">
        <v>215.845</v>
      </c>
      <c r="L218" s="1">
        <v>3.3224999999999998</v>
      </c>
      <c r="N218" s="1">
        <v>215.92400000000001</v>
      </c>
      <c r="O218" s="1">
        <v>-3.3184999999999998</v>
      </c>
      <c r="Q218" s="1">
        <v>215.81</v>
      </c>
      <c r="R218" s="1">
        <v>-0.34200000000000003</v>
      </c>
      <c r="S218" s="6"/>
      <c r="T218" s="1">
        <v>215.74700000000001</v>
      </c>
      <c r="U218" s="1">
        <v>-1.573</v>
      </c>
      <c r="W218" s="1">
        <v>215.80099999999999</v>
      </c>
      <c r="X218" s="1">
        <v>-1.7095</v>
      </c>
      <c r="Z218" s="1">
        <v>215.779</v>
      </c>
      <c r="AA218" s="1">
        <v>-1.5580000000000001</v>
      </c>
      <c r="AB218" s="6"/>
      <c r="AC218" s="1">
        <v>215.80099999999999</v>
      </c>
      <c r="AD218" s="1">
        <v>-2.8165</v>
      </c>
      <c r="AF218" s="1">
        <v>215.86600000000001</v>
      </c>
      <c r="AG218" s="1">
        <v>-2.4390000000000001</v>
      </c>
      <c r="AJ218"/>
      <c r="AK218" s="6"/>
      <c r="AM218" s="1">
        <v>215.84800000000001</v>
      </c>
      <c r="AN218" s="1">
        <v>0.32800000000000001</v>
      </c>
      <c r="AS218" s="1">
        <v>215.773</v>
      </c>
      <c r="AT218" s="1">
        <v>-3.7269999999999999</v>
      </c>
    </row>
    <row r="219" spans="2:46" x14ac:dyDescent="0.2">
      <c r="B219" s="1">
        <v>216.965</v>
      </c>
      <c r="C219" s="1">
        <v>7.8704999999999998</v>
      </c>
      <c r="E219" s="1">
        <v>216.88300000000001</v>
      </c>
      <c r="F219" s="1">
        <v>2.3170000000000002</v>
      </c>
      <c r="H219" s="1">
        <v>216.88900000000001</v>
      </c>
      <c r="I219" s="1">
        <v>1.5740000000000001</v>
      </c>
      <c r="J219" s="6"/>
      <c r="K219" s="1">
        <v>216.85300000000001</v>
      </c>
      <c r="L219" s="1">
        <v>3.2385000000000002</v>
      </c>
      <c r="N219" s="1">
        <v>216.93100000000001</v>
      </c>
      <c r="O219" s="1">
        <v>-3.3855</v>
      </c>
      <c r="Q219" s="1">
        <v>216.81700000000001</v>
      </c>
      <c r="R219" s="1">
        <v>-0.33800000000000002</v>
      </c>
      <c r="S219" s="6"/>
      <c r="T219" s="1">
        <v>216.75399999999999</v>
      </c>
      <c r="U219" s="1">
        <v>-1.571</v>
      </c>
      <c r="W219" s="1">
        <v>216.80600000000001</v>
      </c>
      <c r="X219" s="1">
        <v>-1.7015</v>
      </c>
      <c r="Z219" s="1">
        <v>216.785</v>
      </c>
      <c r="AA219" s="1">
        <v>-1.5495000000000001</v>
      </c>
      <c r="AB219" s="6"/>
      <c r="AC219" s="1">
        <v>216.80799999999999</v>
      </c>
      <c r="AD219" s="1">
        <v>-2.81</v>
      </c>
      <c r="AF219" s="1">
        <v>216.87200000000001</v>
      </c>
      <c r="AG219" s="1">
        <v>-2.4580000000000002</v>
      </c>
      <c r="AJ219"/>
      <c r="AK219" s="6"/>
      <c r="AM219" s="1">
        <v>216.85499999999999</v>
      </c>
      <c r="AN219" s="1">
        <v>0.2455</v>
      </c>
      <c r="AS219" s="1">
        <v>216.77799999999999</v>
      </c>
      <c r="AT219" s="1">
        <v>-3.7275</v>
      </c>
    </row>
    <row r="220" spans="2:46" x14ac:dyDescent="0.2">
      <c r="B220" s="1">
        <v>217.97</v>
      </c>
      <c r="C220" s="1">
        <v>7.8159999999999998</v>
      </c>
      <c r="E220" s="1">
        <v>217.88800000000001</v>
      </c>
      <c r="F220" s="1">
        <v>2.2410000000000001</v>
      </c>
      <c r="H220" s="1">
        <v>217.89400000000001</v>
      </c>
      <c r="I220" s="1">
        <v>1.4964999999999999</v>
      </c>
      <c r="J220" s="6"/>
      <c r="K220" s="1">
        <v>217.863</v>
      </c>
      <c r="L220" s="1">
        <v>3.1575000000000002</v>
      </c>
      <c r="N220" s="1">
        <v>217.93799999999999</v>
      </c>
      <c r="O220" s="1">
        <v>-3.45</v>
      </c>
      <c r="Q220" s="1">
        <v>217.82</v>
      </c>
      <c r="R220" s="1">
        <v>-0.33</v>
      </c>
      <c r="S220" s="6"/>
      <c r="T220" s="1">
        <v>217.762</v>
      </c>
      <c r="U220" s="1">
        <v>-1.5720000000000001</v>
      </c>
      <c r="W220" s="1">
        <v>217.81200000000001</v>
      </c>
      <c r="X220" s="1">
        <v>-1.6870000000000001</v>
      </c>
      <c r="Z220" s="1">
        <v>217.791</v>
      </c>
      <c r="AA220" s="1">
        <v>-1.5469999999999999</v>
      </c>
      <c r="AB220" s="6"/>
      <c r="AC220" s="1">
        <v>217.81399999999999</v>
      </c>
      <c r="AD220" s="1">
        <v>-2.7989999999999999</v>
      </c>
      <c r="AF220" s="1">
        <v>217.87899999999999</v>
      </c>
      <c r="AG220" s="1">
        <v>-2.4754999999999998</v>
      </c>
      <c r="AJ220"/>
      <c r="AK220" s="6"/>
      <c r="AM220" s="1">
        <v>217.86099999999999</v>
      </c>
      <c r="AN220" s="1">
        <v>0.16550000000000001</v>
      </c>
      <c r="AS220" s="1">
        <v>217.78299999999999</v>
      </c>
      <c r="AT220" s="1">
        <v>-3.7275</v>
      </c>
    </row>
    <row r="221" spans="2:46" x14ac:dyDescent="0.2">
      <c r="B221" s="1">
        <v>218.976</v>
      </c>
      <c r="C221" s="1">
        <v>7.758</v>
      </c>
      <c r="E221" s="1">
        <v>218.892</v>
      </c>
      <c r="F221" s="1">
        <v>2.1625000000000001</v>
      </c>
      <c r="H221" s="1">
        <v>218.899</v>
      </c>
      <c r="I221" s="1">
        <v>1.43</v>
      </c>
      <c r="J221" s="6"/>
      <c r="K221" s="1">
        <v>218.869</v>
      </c>
      <c r="L221" s="1">
        <v>3.0830000000000002</v>
      </c>
      <c r="N221" s="1">
        <v>218.94399999999999</v>
      </c>
      <c r="O221" s="1">
        <v>-3.5070000000000001</v>
      </c>
      <c r="Q221" s="1">
        <v>218.82599999999999</v>
      </c>
      <c r="R221" s="1">
        <v>-0.33100000000000002</v>
      </c>
      <c r="S221" s="6"/>
      <c r="T221" s="1">
        <v>218.768</v>
      </c>
      <c r="U221" s="1">
        <v>-1.5740000000000001</v>
      </c>
      <c r="W221" s="1">
        <v>218.82</v>
      </c>
      <c r="X221" s="1">
        <v>-1.6870000000000001</v>
      </c>
      <c r="Z221" s="1">
        <v>218.798</v>
      </c>
      <c r="AA221" s="1">
        <v>-1.54</v>
      </c>
      <c r="AB221" s="6"/>
      <c r="AC221" s="1">
        <v>218.81800000000001</v>
      </c>
      <c r="AD221" s="1">
        <v>-2.7995000000000001</v>
      </c>
      <c r="AF221" s="1">
        <v>218.88300000000001</v>
      </c>
      <c r="AG221" s="1">
        <v>-2.4820000000000002</v>
      </c>
      <c r="AJ221"/>
      <c r="AK221" s="6"/>
      <c r="AM221" s="1">
        <v>218.86600000000001</v>
      </c>
      <c r="AN221" s="1">
        <v>8.3500000000000005E-2</v>
      </c>
      <c r="AS221" s="1">
        <v>218.78899999999999</v>
      </c>
      <c r="AT221" s="1">
        <v>-3.7320000000000002</v>
      </c>
    </row>
    <row r="222" spans="2:46" x14ac:dyDescent="0.2">
      <c r="B222" s="1">
        <v>219.98099999999999</v>
      </c>
      <c r="C222" s="1">
        <v>7.6989999999999998</v>
      </c>
      <c r="E222" s="1">
        <v>219.898</v>
      </c>
      <c r="F222" s="1">
        <v>2.0874999999999999</v>
      </c>
      <c r="H222" s="1">
        <v>219.904</v>
      </c>
      <c r="I222" s="1">
        <v>1.3474999999999999</v>
      </c>
      <c r="J222" s="6"/>
      <c r="K222" s="1">
        <v>219.876</v>
      </c>
      <c r="L222" s="1">
        <v>3.0059999999999998</v>
      </c>
      <c r="N222" s="1">
        <v>219.952</v>
      </c>
      <c r="O222" s="1">
        <v>-3.5775000000000001</v>
      </c>
      <c r="Q222" s="1">
        <v>219.83099999999999</v>
      </c>
      <c r="R222" s="1">
        <v>-0.32350000000000001</v>
      </c>
      <c r="S222" s="6"/>
      <c r="T222" s="1">
        <v>219.773</v>
      </c>
      <c r="U222" s="1">
        <v>-1.5774999999999999</v>
      </c>
      <c r="W222" s="1">
        <v>219.83199999999999</v>
      </c>
      <c r="X222" s="1">
        <v>-1.675</v>
      </c>
      <c r="Z222" s="1">
        <v>219.804</v>
      </c>
      <c r="AA222" s="1">
        <v>-1.5335000000000001</v>
      </c>
      <c r="AB222" s="6"/>
      <c r="AC222" s="1">
        <v>219.822</v>
      </c>
      <c r="AD222" s="1">
        <v>-2.798</v>
      </c>
      <c r="AF222" s="1">
        <v>219.88800000000001</v>
      </c>
      <c r="AG222" s="1">
        <v>-2.4935</v>
      </c>
      <c r="AJ222"/>
      <c r="AK222" s="6"/>
      <c r="AM222" s="1">
        <v>219.87</v>
      </c>
      <c r="AN222" s="1">
        <v>-1E-3</v>
      </c>
      <c r="AS222" s="1">
        <v>219.79400000000001</v>
      </c>
      <c r="AT222" s="1">
        <v>-3.7315</v>
      </c>
    </row>
    <row r="223" spans="2:46" x14ac:dyDescent="0.2">
      <c r="B223" s="1">
        <v>220.98599999999999</v>
      </c>
      <c r="C223" s="1">
        <v>7.6390000000000002</v>
      </c>
      <c r="E223" s="1">
        <v>220.904</v>
      </c>
      <c r="F223" s="1">
        <v>2.0059999999999998</v>
      </c>
      <c r="H223" s="1">
        <v>220.90899999999999</v>
      </c>
      <c r="I223" s="1">
        <v>1.2765</v>
      </c>
      <c r="J223" s="6"/>
      <c r="K223" s="1">
        <v>220.881</v>
      </c>
      <c r="L223" s="1">
        <v>2.9335</v>
      </c>
      <c r="N223" s="1">
        <v>220.958</v>
      </c>
      <c r="O223" s="1">
        <v>-3.6435</v>
      </c>
      <c r="Q223" s="1">
        <v>220.83600000000001</v>
      </c>
      <c r="R223" s="1">
        <v>-0.318</v>
      </c>
      <c r="S223" s="6"/>
      <c r="T223" s="1">
        <v>220.77799999999999</v>
      </c>
      <c r="U223" s="1">
        <v>-1.583</v>
      </c>
      <c r="W223" s="1">
        <v>220.84</v>
      </c>
      <c r="X223" s="1">
        <v>-1.671</v>
      </c>
      <c r="Z223" s="1">
        <v>220.81</v>
      </c>
      <c r="AA223" s="1">
        <v>-1.5349999999999999</v>
      </c>
      <c r="AB223" s="6"/>
      <c r="AC223" s="1">
        <v>220.82900000000001</v>
      </c>
      <c r="AD223" s="1">
        <v>-2.7890000000000001</v>
      </c>
      <c r="AF223" s="1">
        <v>220.893</v>
      </c>
      <c r="AG223" s="1">
        <v>-2.5070000000000001</v>
      </c>
      <c r="AJ223"/>
      <c r="AK223" s="6"/>
      <c r="AM223" s="1">
        <v>220.876</v>
      </c>
      <c r="AN223" s="1">
        <v>-7.0000000000000007E-2</v>
      </c>
      <c r="AS223" s="1">
        <v>220.79900000000001</v>
      </c>
      <c r="AT223" s="1">
        <v>-3.7280000000000002</v>
      </c>
    </row>
    <row r="224" spans="2:46" x14ac:dyDescent="0.2">
      <c r="B224" s="1">
        <v>221.99199999999999</v>
      </c>
      <c r="C224" s="1">
        <v>7.5869999999999997</v>
      </c>
      <c r="E224" s="1">
        <v>221.90700000000001</v>
      </c>
      <c r="F224" s="1">
        <v>1.9245000000000001</v>
      </c>
      <c r="H224" s="1">
        <v>221.91499999999999</v>
      </c>
      <c r="I224" s="1">
        <v>1.1950000000000001</v>
      </c>
      <c r="J224" s="6"/>
      <c r="K224" s="1">
        <v>221.88800000000001</v>
      </c>
      <c r="L224" s="1">
        <v>2.8584999999999998</v>
      </c>
      <c r="N224" s="1">
        <v>221.964</v>
      </c>
      <c r="O224" s="1">
        <v>-3.7174999999999998</v>
      </c>
      <c r="Q224" s="1">
        <v>221.84200000000001</v>
      </c>
      <c r="R224" s="1">
        <v>-0.32</v>
      </c>
      <c r="S224" s="6"/>
      <c r="T224" s="1">
        <v>221.78399999999999</v>
      </c>
      <c r="U224" s="1">
        <v>-1.5865</v>
      </c>
      <c r="W224" s="1">
        <v>221.845</v>
      </c>
      <c r="X224" s="1">
        <v>-1.6679999999999999</v>
      </c>
      <c r="Z224" s="1">
        <v>221.81700000000001</v>
      </c>
      <c r="AA224" s="1">
        <v>-1.5315000000000001</v>
      </c>
      <c r="AB224" s="6"/>
      <c r="AC224" s="1">
        <v>221.83799999999999</v>
      </c>
      <c r="AD224" s="1">
        <v>-2.7890000000000001</v>
      </c>
      <c r="AF224" s="1">
        <v>221.934</v>
      </c>
      <c r="AG224" s="1">
        <v>-2.5150000000000001</v>
      </c>
      <c r="AJ224"/>
      <c r="AK224" s="6"/>
      <c r="AM224" s="1">
        <v>221.88300000000001</v>
      </c>
      <c r="AN224" s="1">
        <v>-0.14849999999999999</v>
      </c>
      <c r="AS224" s="1">
        <v>221.80699999999999</v>
      </c>
      <c r="AT224" s="1">
        <v>-3.7360000000000002</v>
      </c>
    </row>
    <row r="225" spans="2:46" x14ac:dyDescent="0.2">
      <c r="B225" s="1">
        <v>222.99799999999999</v>
      </c>
      <c r="C225" s="1">
        <v>7.5235000000000003</v>
      </c>
      <c r="E225" s="1">
        <v>222.91499999999999</v>
      </c>
      <c r="F225" s="1">
        <v>1.8525</v>
      </c>
      <c r="H225" s="1">
        <v>222.92099999999999</v>
      </c>
      <c r="I225" s="1">
        <v>1.1294999999999999</v>
      </c>
      <c r="J225" s="6"/>
      <c r="K225" s="1">
        <v>222.898</v>
      </c>
      <c r="L225" s="1">
        <v>2.7745000000000002</v>
      </c>
      <c r="N225" s="1">
        <v>222.96799999999999</v>
      </c>
      <c r="O225" s="1">
        <v>-3.786</v>
      </c>
      <c r="Q225" s="1">
        <v>222.84700000000001</v>
      </c>
      <c r="R225" s="1">
        <v>-0.32650000000000001</v>
      </c>
      <c r="S225" s="6"/>
      <c r="T225" s="1">
        <v>222.786</v>
      </c>
      <c r="U225" s="1">
        <v>-1.5914999999999999</v>
      </c>
      <c r="W225" s="1">
        <v>222.851</v>
      </c>
      <c r="X225" s="1">
        <v>-1.6659999999999999</v>
      </c>
      <c r="Z225" s="1">
        <v>222.82300000000001</v>
      </c>
      <c r="AA225" s="1">
        <v>-1.5285</v>
      </c>
      <c r="AB225" s="6"/>
      <c r="AC225" s="1">
        <v>222.84299999999999</v>
      </c>
      <c r="AD225" s="1">
        <v>-2.7789999999999999</v>
      </c>
      <c r="AF225" s="1">
        <v>222.93799999999999</v>
      </c>
      <c r="AG225" s="1">
        <v>-2.512</v>
      </c>
      <c r="AJ225"/>
      <c r="AK225" s="6"/>
      <c r="AM225" s="1">
        <v>222.887</v>
      </c>
      <c r="AN225" s="1">
        <v>-0.23050000000000001</v>
      </c>
      <c r="AS225" s="1">
        <v>222.81399999999999</v>
      </c>
      <c r="AT225" s="1">
        <v>-3.734</v>
      </c>
    </row>
    <row r="226" spans="2:46" x14ac:dyDescent="0.2">
      <c r="B226" s="1">
        <v>224.005</v>
      </c>
      <c r="C226" s="1">
        <v>7.4684999999999997</v>
      </c>
      <c r="E226" s="1">
        <v>223.92099999999999</v>
      </c>
      <c r="F226" s="1">
        <v>1.7745</v>
      </c>
      <c r="H226" s="1">
        <v>223.928</v>
      </c>
      <c r="I226" s="1">
        <v>1.0609999999999999</v>
      </c>
      <c r="J226" s="6"/>
      <c r="K226" s="1">
        <v>223.904</v>
      </c>
      <c r="L226" s="1">
        <v>2.6909999999999998</v>
      </c>
      <c r="N226" s="1">
        <v>223.97499999999999</v>
      </c>
      <c r="O226" s="1">
        <v>-3.8664999999999998</v>
      </c>
      <c r="Q226" s="1">
        <v>223.85499999999999</v>
      </c>
      <c r="R226" s="1">
        <v>-0.32800000000000001</v>
      </c>
      <c r="S226" s="6"/>
      <c r="T226" s="1">
        <v>223.791</v>
      </c>
      <c r="U226" s="1">
        <v>-1.5920000000000001</v>
      </c>
      <c r="W226" s="1">
        <v>223.858</v>
      </c>
      <c r="X226" s="1">
        <v>-1.667</v>
      </c>
      <c r="Z226" s="1">
        <v>223.828</v>
      </c>
      <c r="AA226" s="1">
        <v>-1.526</v>
      </c>
      <c r="AB226" s="6"/>
      <c r="AC226" s="1">
        <v>223.87299999999999</v>
      </c>
      <c r="AD226" s="1">
        <v>-2.7675000000000001</v>
      </c>
      <c r="AF226" s="1">
        <v>223.94200000000001</v>
      </c>
      <c r="AG226" s="1">
        <v>-2.5154999999999998</v>
      </c>
      <c r="AJ226"/>
      <c r="AK226" s="6"/>
      <c r="AM226" s="1">
        <v>223.892</v>
      </c>
      <c r="AN226" s="1">
        <v>-0.30399999999999999</v>
      </c>
      <c r="AS226" s="1">
        <v>223.822</v>
      </c>
      <c r="AT226" s="1">
        <v>-3.7524999999999999</v>
      </c>
    </row>
    <row r="227" spans="2:46" x14ac:dyDescent="0.2">
      <c r="B227" s="1">
        <v>225.011</v>
      </c>
      <c r="C227" s="1">
        <v>7.4130000000000003</v>
      </c>
      <c r="E227" s="1">
        <v>224.92699999999999</v>
      </c>
      <c r="F227" s="1">
        <v>1.6955</v>
      </c>
      <c r="H227" s="1">
        <v>224.935</v>
      </c>
      <c r="I227" s="1">
        <v>0.98650000000000004</v>
      </c>
      <c r="J227" s="6"/>
      <c r="K227" s="1">
        <v>224.90899999999999</v>
      </c>
      <c r="L227" s="1">
        <v>2.6160000000000001</v>
      </c>
      <c r="N227" s="1">
        <v>224.982</v>
      </c>
      <c r="O227" s="1">
        <v>-3.9319999999999999</v>
      </c>
      <c r="Q227" s="1">
        <v>224.863</v>
      </c>
      <c r="R227" s="1">
        <v>-0.317</v>
      </c>
      <c r="S227" s="6"/>
      <c r="T227" s="1">
        <v>224.798</v>
      </c>
      <c r="U227" s="1">
        <v>-1.5974999999999999</v>
      </c>
      <c r="W227" s="1">
        <v>224.86799999999999</v>
      </c>
      <c r="X227" s="1">
        <v>-1.6595</v>
      </c>
      <c r="Z227" s="1">
        <v>224.83500000000001</v>
      </c>
      <c r="AA227" s="1">
        <v>-1.524</v>
      </c>
      <c r="AB227" s="6"/>
      <c r="AC227" s="1">
        <v>224.87799999999999</v>
      </c>
      <c r="AD227" s="1">
        <v>-2.7629999999999999</v>
      </c>
      <c r="AF227" s="1">
        <v>224.947</v>
      </c>
      <c r="AG227" s="1">
        <v>-2.5085000000000002</v>
      </c>
      <c r="AJ227"/>
      <c r="AK227" s="6"/>
      <c r="AM227" s="1">
        <v>224.899</v>
      </c>
      <c r="AN227" s="1">
        <v>-0.38750000000000001</v>
      </c>
      <c r="AS227" s="1">
        <v>224.828</v>
      </c>
      <c r="AT227" s="1">
        <v>-3.7570000000000001</v>
      </c>
    </row>
    <row r="228" spans="2:46" x14ac:dyDescent="0.2">
      <c r="B228" s="1">
        <v>226.01499999999999</v>
      </c>
      <c r="C228" s="1">
        <v>7.35</v>
      </c>
      <c r="E228" s="1">
        <v>225.934</v>
      </c>
      <c r="F228" s="1">
        <v>1.6185</v>
      </c>
      <c r="H228" s="1">
        <v>225.94300000000001</v>
      </c>
      <c r="I228" s="1">
        <v>0.91400000000000003</v>
      </c>
      <c r="J228" s="6"/>
      <c r="K228" s="1">
        <v>225.917</v>
      </c>
      <c r="L228" s="1">
        <v>2.5409999999999999</v>
      </c>
      <c r="N228" s="1">
        <v>225.98699999999999</v>
      </c>
      <c r="O228" s="1">
        <v>-3.9950000000000001</v>
      </c>
      <c r="Q228" s="1">
        <v>225.869</v>
      </c>
      <c r="R228" s="1">
        <v>-0.3085</v>
      </c>
      <c r="S228" s="6"/>
      <c r="T228" s="1">
        <v>225.804</v>
      </c>
      <c r="U228" s="1">
        <v>-1.5980000000000001</v>
      </c>
      <c r="W228" s="1">
        <v>225.87700000000001</v>
      </c>
      <c r="X228" s="1">
        <v>-1.6559999999999999</v>
      </c>
      <c r="Z228" s="1">
        <v>225.839</v>
      </c>
      <c r="AA228" s="1">
        <v>-1.5269999999999999</v>
      </c>
      <c r="AB228" s="6"/>
      <c r="AC228" s="1">
        <v>225.88200000000001</v>
      </c>
      <c r="AD228" s="1">
        <v>-2.7719999999999998</v>
      </c>
      <c r="AF228" s="1">
        <v>225.95400000000001</v>
      </c>
      <c r="AG228" s="1">
        <v>-2.5089999999999999</v>
      </c>
      <c r="AJ228"/>
      <c r="AK228" s="6"/>
      <c r="AM228" s="1">
        <v>225.90700000000001</v>
      </c>
      <c r="AN228" s="1">
        <v>-0.47</v>
      </c>
      <c r="AS228" s="1">
        <v>225.833</v>
      </c>
      <c r="AT228" s="1">
        <v>-3.7650000000000001</v>
      </c>
    </row>
    <row r="229" spans="2:46" x14ac:dyDescent="0.2">
      <c r="B229" s="1">
        <v>227.01900000000001</v>
      </c>
      <c r="C229" s="1">
        <v>7.2919999999999998</v>
      </c>
      <c r="E229" s="1">
        <v>226.93799999999999</v>
      </c>
      <c r="F229" s="1">
        <v>1.5489999999999999</v>
      </c>
      <c r="H229" s="1">
        <v>226.95099999999999</v>
      </c>
      <c r="I229" s="1">
        <v>0.83599999999999997</v>
      </c>
      <c r="J229" s="6"/>
      <c r="K229" s="1">
        <v>226.922</v>
      </c>
      <c r="L229" s="1">
        <v>2.4634999999999998</v>
      </c>
      <c r="N229" s="1">
        <v>226.99299999999999</v>
      </c>
      <c r="O229" s="1">
        <v>-4.0599999999999996</v>
      </c>
      <c r="Q229" s="1">
        <v>226.874</v>
      </c>
      <c r="R229" s="1">
        <v>-0.314</v>
      </c>
      <c r="S229" s="6"/>
      <c r="T229" s="1">
        <v>226.81100000000001</v>
      </c>
      <c r="U229" s="1">
        <v>-1.6040000000000001</v>
      </c>
      <c r="W229" s="1">
        <v>226.88399999999999</v>
      </c>
      <c r="X229" s="1">
        <v>-1.6639999999999999</v>
      </c>
      <c r="Z229" s="1">
        <v>226.84299999999999</v>
      </c>
      <c r="AA229" s="1">
        <v>-1.5269999999999999</v>
      </c>
      <c r="AB229" s="6"/>
      <c r="AC229" s="1">
        <v>226.88800000000001</v>
      </c>
      <c r="AD229" s="1">
        <v>-2.7765</v>
      </c>
      <c r="AF229" s="1">
        <v>226.959</v>
      </c>
      <c r="AG229" s="1">
        <v>-2.5325000000000002</v>
      </c>
      <c r="AJ229"/>
      <c r="AK229" s="6"/>
      <c r="AM229" s="1">
        <v>226.91300000000001</v>
      </c>
      <c r="AN229" s="1">
        <v>-0.54449999999999998</v>
      </c>
      <c r="AS229" s="1">
        <v>226.83699999999999</v>
      </c>
      <c r="AT229" s="1">
        <v>-3.7715000000000001</v>
      </c>
    </row>
    <row r="230" spans="2:46" x14ac:dyDescent="0.2">
      <c r="B230" s="1">
        <v>228.02500000000001</v>
      </c>
      <c r="C230" s="1">
        <v>7.2309999999999999</v>
      </c>
      <c r="E230" s="1">
        <v>227.94300000000001</v>
      </c>
      <c r="F230" s="1">
        <v>1.4744999999999999</v>
      </c>
      <c r="H230" s="1">
        <v>227.95699999999999</v>
      </c>
      <c r="I230" s="1">
        <v>0.75949999999999995</v>
      </c>
      <c r="J230" s="6"/>
      <c r="K230" s="1">
        <v>227.929</v>
      </c>
      <c r="L230" s="1">
        <v>2.39</v>
      </c>
      <c r="N230" s="1">
        <v>227.999</v>
      </c>
      <c r="O230" s="1">
        <v>-4.1349999999999998</v>
      </c>
      <c r="Q230" s="1">
        <v>227.87899999999999</v>
      </c>
      <c r="R230" s="1">
        <v>-0.32</v>
      </c>
      <c r="S230" s="6"/>
      <c r="T230" s="1">
        <v>227.816</v>
      </c>
      <c r="U230" s="1">
        <v>-1.6025</v>
      </c>
      <c r="W230" s="1">
        <v>227.88800000000001</v>
      </c>
      <c r="X230" s="1">
        <v>-1.66</v>
      </c>
      <c r="Z230" s="1">
        <v>227.85400000000001</v>
      </c>
      <c r="AA230" s="1">
        <v>-1.5315000000000001</v>
      </c>
      <c r="AB230" s="6"/>
      <c r="AC230" s="1">
        <v>227.89400000000001</v>
      </c>
      <c r="AD230" s="1">
        <v>-2.7770000000000001</v>
      </c>
      <c r="AF230" s="1">
        <v>227.964</v>
      </c>
      <c r="AG230" s="1">
        <v>-2.5554999999999999</v>
      </c>
      <c r="AJ230"/>
      <c r="AK230" s="6"/>
      <c r="AM230" s="1">
        <v>227.92</v>
      </c>
      <c r="AN230" s="1">
        <v>-0.62649999999999995</v>
      </c>
      <c r="AS230" s="1">
        <v>227.84200000000001</v>
      </c>
      <c r="AT230" s="1">
        <v>-3.7795000000000001</v>
      </c>
    </row>
    <row r="231" spans="2:46" x14ac:dyDescent="0.2">
      <c r="B231" s="1">
        <v>229.03100000000001</v>
      </c>
      <c r="C231" s="1">
        <v>7.1755000000000004</v>
      </c>
      <c r="E231" s="1">
        <v>228.94800000000001</v>
      </c>
      <c r="F231" s="1">
        <v>1.399</v>
      </c>
      <c r="H231" s="1">
        <v>228.964</v>
      </c>
      <c r="I231" s="1">
        <v>0.68300000000000005</v>
      </c>
      <c r="J231" s="6"/>
      <c r="K231" s="1">
        <v>228.93600000000001</v>
      </c>
      <c r="L231" s="1">
        <v>2.319</v>
      </c>
      <c r="N231" s="1">
        <v>229.006</v>
      </c>
      <c r="O231" s="1">
        <v>-4.1985000000000001</v>
      </c>
      <c r="Q231" s="1">
        <v>228.88499999999999</v>
      </c>
      <c r="R231" s="1">
        <v>-0.33400000000000002</v>
      </c>
      <c r="S231" s="6"/>
      <c r="T231" s="1">
        <v>228.822</v>
      </c>
      <c r="U231" s="1">
        <v>-1.601</v>
      </c>
      <c r="W231" s="1">
        <v>228.89400000000001</v>
      </c>
      <c r="X231" s="1">
        <v>-1.6615</v>
      </c>
      <c r="Z231" s="1">
        <v>228.85900000000001</v>
      </c>
      <c r="AA231" s="1">
        <v>-1.5335000000000001</v>
      </c>
      <c r="AB231" s="6"/>
      <c r="AC231" s="1">
        <v>228.9</v>
      </c>
      <c r="AD231" s="1">
        <v>-2.7875000000000001</v>
      </c>
      <c r="AF231" s="1">
        <v>228.96799999999999</v>
      </c>
      <c r="AG231" s="1">
        <v>-2.589</v>
      </c>
      <c r="AJ231"/>
      <c r="AK231" s="6"/>
      <c r="AM231" s="1">
        <v>228.92599999999999</v>
      </c>
      <c r="AN231" s="1">
        <v>-0.71050000000000002</v>
      </c>
      <c r="AS231" s="1">
        <v>228.84399999999999</v>
      </c>
      <c r="AT231" s="1">
        <v>-3.7785000000000002</v>
      </c>
    </row>
    <row r="232" spans="2:46" x14ac:dyDescent="0.2">
      <c r="B232" s="1">
        <v>230.03700000000001</v>
      </c>
      <c r="C232" s="1">
        <v>7.1239999999999997</v>
      </c>
      <c r="E232" s="1">
        <v>229.953</v>
      </c>
      <c r="F232" s="1">
        <v>1.3205</v>
      </c>
      <c r="H232" s="1">
        <v>229.97</v>
      </c>
      <c r="I232" s="1">
        <v>0.60650000000000004</v>
      </c>
      <c r="J232" s="6"/>
      <c r="K232" s="1">
        <v>229.94</v>
      </c>
      <c r="L232" s="1">
        <v>2.2509999999999999</v>
      </c>
      <c r="N232" s="1">
        <v>230.012</v>
      </c>
      <c r="O232" s="1">
        <v>-4.2610000000000001</v>
      </c>
      <c r="Q232" s="1">
        <v>229.88900000000001</v>
      </c>
      <c r="R232" s="1">
        <v>-0.33800000000000002</v>
      </c>
      <c r="S232" s="6"/>
      <c r="T232" s="1">
        <v>229.82599999999999</v>
      </c>
      <c r="U232" s="1">
        <v>-1.6054999999999999</v>
      </c>
      <c r="W232" s="1">
        <v>229.90199999999999</v>
      </c>
      <c r="X232" s="1">
        <v>-1.6725000000000001</v>
      </c>
      <c r="Z232" s="1">
        <v>229.864</v>
      </c>
      <c r="AA232" s="1">
        <v>-1.5325</v>
      </c>
      <c r="AB232" s="6"/>
      <c r="AC232" s="1">
        <v>229.904</v>
      </c>
      <c r="AD232" s="1">
        <v>-2.7959999999999998</v>
      </c>
      <c r="AF232" s="1">
        <v>229.97399999999999</v>
      </c>
      <c r="AG232" s="1">
        <v>-2.6040000000000001</v>
      </c>
      <c r="AJ232"/>
      <c r="AK232" s="6"/>
      <c r="AM232" s="1">
        <v>229.93199999999999</v>
      </c>
      <c r="AN232" s="1">
        <v>-0.78700000000000003</v>
      </c>
      <c r="AS232" s="1">
        <v>229.851</v>
      </c>
      <c r="AT232" s="1">
        <v>-3.78</v>
      </c>
    </row>
    <row r="233" spans="2:46" x14ac:dyDescent="0.2">
      <c r="B233" s="1">
        <v>231.04499999999999</v>
      </c>
      <c r="C233" s="1">
        <v>7.0730000000000004</v>
      </c>
      <c r="E233" s="1">
        <v>230.95699999999999</v>
      </c>
      <c r="F233" s="1">
        <v>1.2415</v>
      </c>
      <c r="H233" s="1">
        <v>230.97300000000001</v>
      </c>
      <c r="I233" s="1">
        <v>0.53849999999999998</v>
      </c>
      <c r="J233" s="6"/>
      <c r="K233" s="1">
        <v>230.94800000000001</v>
      </c>
      <c r="L233" s="1">
        <v>2.1804999999999999</v>
      </c>
      <c r="N233" s="1">
        <v>231.017</v>
      </c>
      <c r="O233" s="1">
        <v>-4.3369999999999997</v>
      </c>
      <c r="Q233" s="1">
        <v>230.89500000000001</v>
      </c>
      <c r="R233" s="1">
        <v>-0.35799999999999998</v>
      </c>
      <c r="S233" s="6"/>
      <c r="T233" s="1">
        <v>230.83199999999999</v>
      </c>
      <c r="U233" s="1">
        <v>-1.6065</v>
      </c>
      <c r="W233" s="1">
        <v>230.90799999999999</v>
      </c>
      <c r="X233" s="1">
        <v>-1.6725000000000001</v>
      </c>
      <c r="Z233" s="1">
        <v>230.87100000000001</v>
      </c>
      <c r="AA233" s="1">
        <v>-1.53</v>
      </c>
      <c r="AB233" s="6"/>
      <c r="AC233" s="1">
        <v>230.91</v>
      </c>
      <c r="AD233" s="1">
        <v>-2.8029999999999999</v>
      </c>
      <c r="AF233" s="1">
        <v>230.97900000000001</v>
      </c>
      <c r="AG233" s="1">
        <v>-2.6139999999999999</v>
      </c>
      <c r="AJ233"/>
      <c r="AK233" s="6"/>
      <c r="AM233" s="1">
        <v>230.941</v>
      </c>
      <c r="AN233" s="1">
        <v>-0.86199999999999999</v>
      </c>
      <c r="AS233" s="1">
        <v>230.857</v>
      </c>
      <c r="AT233" s="1">
        <v>-3.7869999999999999</v>
      </c>
    </row>
    <row r="234" spans="2:46" x14ac:dyDescent="0.2">
      <c r="B234" s="1">
        <v>232.048</v>
      </c>
      <c r="C234" s="1">
        <v>7.0155000000000003</v>
      </c>
      <c r="E234" s="1">
        <v>231.96199999999999</v>
      </c>
      <c r="F234" s="1">
        <v>1.171</v>
      </c>
      <c r="H234" s="1">
        <v>231.97900000000001</v>
      </c>
      <c r="I234" s="1">
        <v>0.46250000000000002</v>
      </c>
      <c r="J234" s="6"/>
      <c r="K234" s="1">
        <v>231.95500000000001</v>
      </c>
      <c r="L234" s="1">
        <v>2.1019999999999999</v>
      </c>
      <c r="N234" s="1">
        <v>232.023</v>
      </c>
      <c r="O234" s="1">
        <v>-4.3055000000000003</v>
      </c>
      <c r="Q234" s="1">
        <v>231.9</v>
      </c>
      <c r="R234" s="1">
        <v>-0.36799999999999999</v>
      </c>
      <c r="S234" s="6"/>
      <c r="T234" s="1">
        <v>231.83600000000001</v>
      </c>
      <c r="U234" s="1">
        <v>-1.6034999999999999</v>
      </c>
      <c r="W234" s="1">
        <v>231.91300000000001</v>
      </c>
      <c r="X234" s="1">
        <v>-1.663</v>
      </c>
      <c r="Z234" s="1">
        <v>231.874</v>
      </c>
      <c r="AA234" s="1">
        <v>-1.53</v>
      </c>
      <c r="AB234" s="6"/>
      <c r="AC234" s="1">
        <v>231.91800000000001</v>
      </c>
      <c r="AD234" s="1">
        <v>-2.8119999999999998</v>
      </c>
      <c r="AF234" s="1">
        <v>231.98500000000001</v>
      </c>
      <c r="AG234" s="1">
        <v>-2.6230000000000002</v>
      </c>
      <c r="AJ234"/>
      <c r="AK234" s="6"/>
      <c r="AM234" s="1">
        <v>231.95</v>
      </c>
      <c r="AN234" s="1">
        <v>-0.95150000000000001</v>
      </c>
      <c r="AS234" s="1">
        <v>231.864</v>
      </c>
      <c r="AT234" s="1">
        <v>-3.7865000000000002</v>
      </c>
    </row>
    <row r="235" spans="2:46" x14ac:dyDescent="0.2">
      <c r="B235" s="1">
        <v>233.05199999999999</v>
      </c>
      <c r="C235" s="1">
        <v>6.9515000000000002</v>
      </c>
      <c r="E235" s="1">
        <v>232.97</v>
      </c>
      <c r="F235" s="1">
        <v>1.099</v>
      </c>
      <c r="H235" s="1">
        <v>232.98599999999999</v>
      </c>
      <c r="I235" s="1">
        <v>0.38950000000000001</v>
      </c>
      <c r="J235" s="6"/>
      <c r="K235" s="1">
        <v>232.96199999999999</v>
      </c>
      <c r="L235" s="1">
        <v>2.0065</v>
      </c>
      <c r="N235" s="1">
        <v>233.03</v>
      </c>
      <c r="O235" s="1">
        <v>-3.3774999999999999</v>
      </c>
      <c r="Q235" s="1">
        <v>232.905</v>
      </c>
      <c r="R235" s="1">
        <v>-0.38200000000000001</v>
      </c>
      <c r="S235" s="6"/>
      <c r="T235" s="1">
        <v>232.84200000000001</v>
      </c>
      <c r="U235" s="1">
        <v>-1.615</v>
      </c>
      <c r="W235" s="1">
        <v>232.91900000000001</v>
      </c>
      <c r="X235" s="1">
        <v>-1.661</v>
      </c>
      <c r="Z235" s="1">
        <v>232.87899999999999</v>
      </c>
      <c r="AA235" s="1">
        <v>-1.53</v>
      </c>
      <c r="AB235" s="6"/>
      <c r="AC235" s="1">
        <v>232.923</v>
      </c>
      <c r="AD235" s="1">
        <v>-2.8165</v>
      </c>
      <c r="AF235" s="1">
        <v>232.989</v>
      </c>
      <c r="AG235" s="1">
        <v>-2.637</v>
      </c>
      <c r="AJ235"/>
      <c r="AK235" s="6"/>
      <c r="AM235" s="1">
        <v>232.95500000000001</v>
      </c>
      <c r="AN235" s="1">
        <v>-1.036</v>
      </c>
      <c r="AS235" s="1">
        <v>232.87100000000001</v>
      </c>
      <c r="AT235" s="1">
        <v>-3.7879999999999998</v>
      </c>
    </row>
    <row r="236" spans="2:46" x14ac:dyDescent="0.2">
      <c r="B236" s="1">
        <v>234.05799999999999</v>
      </c>
      <c r="C236" s="1">
        <v>6.8914999999999997</v>
      </c>
      <c r="E236" s="1">
        <v>233.97800000000001</v>
      </c>
      <c r="F236" s="1">
        <v>1.016</v>
      </c>
      <c r="H236" s="1">
        <v>233.99199999999999</v>
      </c>
      <c r="I236" s="1">
        <v>0.3105</v>
      </c>
      <c r="J236" s="6"/>
      <c r="K236" s="1">
        <v>233.96799999999999</v>
      </c>
      <c r="L236" s="1">
        <v>1.92</v>
      </c>
      <c r="N236" s="1">
        <v>234.036</v>
      </c>
      <c r="O236" s="1">
        <v>-2.4264999999999999</v>
      </c>
      <c r="Q236" s="1">
        <v>233.911</v>
      </c>
      <c r="R236" s="1">
        <v>-0.38400000000000001</v>
      </c>
      <c r="S236" s="6"/>
      <c r="T236" s="1">
        <v>233.84899999999999</v>
      </c>
      <c r="U236" s="1">
        <v>-1.623</v>
      </c>
      <c r="W236" s="1">
        <v>233.92400000000001</v>
      </c>
      <c r="X236" s="1">
        <v>-1.6519999999999999</v>
      </c>
      <c r="Z236" s="1">
        <v>233.88800000000001</v>
      </c>
      <c r="AA236" s="1">
        <v>-1.5235000000000001</v>
      </c>
      <c r="AB236" s="6"/>
      <c r="AC236" s="1">
        <v>233.928</v>
      </c>
      <c r="AD236" s="1">
        <v>-2.8264999999999998</v>
      </c>
      <c r="AF236" s="1">
        <v>233.99299999999999</v>
      </c>
      <c r="AG236" s="1">
        <v>-2.6309999999999998</v>
      </c>
      <c r="AJ236"/>
      <c r="AK236" s="6"/>
      <c r="AM236" s="1">
        <v>233.959</v>
      </c>
      <c r="AN236" s="1">
        <v>-1.1145</v>
      </c>
      <c r="AS236" s="1">
        <v>233.87700000000001</v>
      </c>
      <c r="AT236" s="1">
        <v>-3.7995000000000001</v>
      </c>
    </row>
    <row r="237" spans="2:46" x14ac:dyDescent="0.2">
      <c r="B237" s="1">
        <v>235.06399999999999</v>
      </c>
      <c r="C237" s="1">
        <v>6.8334999999999999</v>
      </c>
      <c r="E237" s="1">
        <v>234.98500000000001</v>
      </c>
      <c r="F237" s="1">
        <v>0.93899999999999995</v>
      </c>
      <c r="H237" s="1">
        <v>234.99700000000001</v>
      </c>
      <c r="I237" s="1">
        <v>0.23100000000000001</v>
      </c>
      <c r="J237" s="6"/>
      <c r="K237" s="1">
        <v>234.97399999999999</v>
      </c>
      <c r="L237" s="1">
        <v>1.8465</v>
      </c>
      <c r="N237" s="1">
        <v>235.04300000000001</v>
      </c>
      <c r="O237" s="1">
        <v>-1.8160000000000001</v>
      </c>
      <c r="Q237" s="1">
        <v>234.91900000000001</v>
      </c>
      <c r="R237" s="1">
        <v>-0.375</v>
      </c>
      <c r="S237" s="6"/>
      <c r="T237" s="1">
        <v>234.85900000000001</v>
      </c>
      <c r="U237" s="1">
        <v>-1.6174999999999999</v>
      </c>
      <c r="W237" s="1">
        <v>234.929</v>
      </c>
      <c r="X237" s="1">
        <v>-1.6535</v>
      </c>
      <c r="Z237" s="1">
        <v>234.89400000000001</v>
      </c>
      <c r="AA237" s="1">
        <v>-1.5269999999999999</v>
      </c>
      <c r="AB237" s="6"/>
      <c r="AC237" s="1">
        <v>234.93199999999999</v>
      </c>
      <c r="AD237" s="1">
        <v>-2.8330000000000002</v>
      </c>
      <c r="AF237" s="1">
        <v>234.99799999999999</v>
      </c>
      <c r="AG237" s="1">
        <v>-2.64</v>
      </c>
      <c r="AJ237"/>
      <c r="AK237" s="6"/>
      <c r="AM237" s="1">
        <v>234.964</v>
      </c>
      <c r="AN237" s="1">
        <v>-1.1970000000000001</v>
      </c>
      <c r="AS237" s="1">
        <v>234.88300000000001</v>
      </c>
      <c r="AT237" s="1">
        <v>-3.8029999999999999</v>
      </c>
    </row>
    <row r="238" spans="2:46" x14ac:dyDescent="0.2">
      <c r="B238" s="1">
        <v>236.07</v>
      </c>
      <c r="C238" s="1">
        <v>6.7824999999999998</v>
      </c>
      <c r="E238" s="1">
        <v>235.99299999999999</v>
      </c>
      <c r="F238" s="1">
        <v>0.86250000000000004</v>
      </c>
      <c r="H238" s="1">
        <v>236.00399999999999</v>
      </c>
      <c r="I238" s="1">
        <v>0.161</v>
      </c>
      <c r="J238" s="6"/>
      <c r="K238" s="1">
        <v>235.97900000000001</v>
      </c>
      <c r="L238" s="1">
        <v>1.7655000000000001</v>
      </c>
      <c r="N238" s="1">
        <v>236.048</v>
      </c>
      <c r="O238" s="1">
        <v>-1.4355</v>
      </c>
      <c r="Q238" s="1">
        <v>235.92400000000001</v>
      </c>
      <c r="R238" s="1">
        <v>-0.36499999999999999</v>
      </c>
      <c r="S238" s="6"/>
      <c r="T238" s="1">
        <v>235.864</v>
      </c>
      <c r="U238" s="1">
        <v>-1.6074999999999999</v>
      </c>
      <c r="W238" s="1">
        <v>235.935</v>
      </c>
      <c r="X238" s="1">
        <v>-1.655</v>
      </c>
      <c r="Z238" s="1">
        <v>235.899</v>
      </c>
      <c r="AA238" s="1">
        <v>-1.5235000000000001</v>
      </c>
      <c r="AB238" s="6"/>
      <c r="AC238" s="1">
        <v>235.93799999999999</v>
      </c>
      <c r="AD238" s="1">
        <v>-2.8334999999999999</v>
      </c>
      <c r="AF238" s="1">
        <v>236.006</v>
      </c>
      <c r="AG238" s="1">
        <v>-2.649</v>
      </c>
      <c r="AJ238"/>
      <c r="AK238" s="6"/>
      <c r="AM238" s="1">
        <v>235.97300000000001</v>
      </c>
      <c r="AN238" s="1">
        <v>-1.2769999999999999</v>
      </c>
      <c r="AS238" s="1">
        <v>235.88900000000001</v>
      </c>
      <c r="AT238" s="1">
        <v>-3.806</v>
      </c>
    </row>
    <row r="239" spans="2:46" x14ac:dyDescent="0.2">
      <c r="B239" s="1">
        <v>237.07499999999999</v>
      </c>
      <c r="C239" s="1">
        <v>6.7290000000000001</v>
      </c>
      <c r="E239" s="1">
        <v>236.99799999999999</v>
      </c>
      <c r="F239" s="1">
        <v>0.78600000000000003</v>
      </c>
      <c r="H239" s="1">
        <v>237.01300000000001</v>
      </c>
      <c r="I239" s="1">
        <v>6.7000000000000004E-2</v>
      </c>
      <c r="J239" s="6"/>
      <c r="K239" s="1">
        <v>236.98500000000001</v>
      </c>
      <c r="L239" s="1">
        <v>1.6924999999999999</v>
      </c>
      <c r="N239" s="1">
        <v>237.053</v>
      </c>
      <c r="O239" s="1">
        <v>-1.1850000000000001</v>
      </c>
      <c r="Q239" s="1">
        <v>236.929</v>
      </c>
      <c r="R239" s="1">
        <v>-0.36799999999999999</v>
      </c>
      <c r="S239" s="6"/>
      <c r="T239" s="1">
        <v>236.869</v>
      </c>
      <c r="U239" s="1">
        <v>-1.6034999999999999</v>
      </c>
      <c r="W239" s="1">
        <v>236.94300000000001</v>
      </c>
      <c r="X239" s="1">
        <v>-1.6605000000000001</v>
      </c>
      <c r="Z239" s="1">
        <v>236.905</v>
      </c>
      <c r="AA239" s="1">
        <v>-1.5309999999999999</v>
      </c>
      <c r="AB239" s="6"/>
      <c r="AC239" s="1">
        <v>236.94300000000001</v>
      </c>
      <c r="AD239" s="1">
        <v>-2.8334999999999999</v>
      </c>
      <c r="AF239" s="1">
        <v>237.012</v>
      </c>
      <c r="AG239" s="1">
        <v>-2.6480000000000001</v>
      </c>
      <c r="AJ239"/>
      <c r="AK239" s="6"/>
      <c r="AM239" s="1">
        <v>236.983</v>
      </c>
      <c r="AN239" s="1">
        <v>-1.3620000000000001</v>
      </c>
      <c r="AS239" s="1">
        <v>236.899</v>
      </c>
      <c r="AT239" s="1">
        <v>-3.8094999999999999</v>
      </c>
    </row>
    <row r="240" spans="2:46" x14ac:dyDescent="0.2">
      <c r="B240" s="1">
        <v>238.08</v>
      </c>
      <c r="C240" s="1">
        <v>6.6769999999999996</v>
      </c>
      <c r="E240" s="1">
        <v>238.00200000000001</v>
      </c>
      <c r="F240" s="1">
        <v>0.71299999999999997</v>
      </c>
      <c r="H240" s="1">
        <v>238.01900000000001</v>
      </c>
      <c r="I240" s="1">
        <v>2.5000000000000001E-3</v>
      </c>
      <c r="J240" s="6"/>
      <c r="K240" s="1">
        <v>237.99199999999999</v>
      </c>
      <c r="L240" s="1">
        <v>1.6234999999999999</v>
      </c>
      <c r="N240" s="1">
        <v>238.06200000000001</v>
      </c>
      <c r="O240" s="1">
        <v>-1.0109999999999999</v>
      </c>
      <c r="Q240" s="1">
        <v>237.93899999999999</v>
      </c>
      <c r="R240" s="1">
        <v>-0.36899999999999999</v>
      </c>
      <c r="S240" s="6"/>
      <c r="T240" s="1">
        <v>237.874</v>
      </c>
      <c r="U240" s="1">
        <v>-1.6014999999999999</v>
      </c>
      <c r="W240" s="1">
        <v>237.95</v>
      </c>
      <c r="X240" s="1">
        <v>-1.6679999999999999</v>
      </c>
      <c r="Z240" s="1">
        <v>237.91</v>
      </c>
      <c r="AA240" s="1">
        <v>-1.5349999999999999</v>
      </c>
      <c r="AB240" s="6"/>
      <c r="AC240" s="1">
        <v>237.95</v>
      </c>
      <c r="AD240" s="1">
        <v>-2.8285</v>
      </c>
      <c r="AF240" s="1">
        <v>238.017</v>
      </c>
      <c r="AG240" s="1">
        <v>-2.6459999999999999</v>
      </c>
      <c r="AJ240"/>
      <c r="AK240" s="6"/>
      <c r="AM240" s="1">
        <v>237.99100000000001</v>
      </c>
      <c r="AN240" s="1">
        <v>-1.4390000000000001</v>
      </c>
      <c r="AS240" s="1">
        <v>237.90299999999999</v>
      </c>
      <c r="AT240" s="1">
        <v>-3.8050000000000002</v>
      </c>
    </row>
    <row r="241" spans="2:46" x14ac:dyDescent="0.2">
      <c r="B241" s="1">
        <v>239.08600000000001</v>
      </c>
      <c r="C241" s="1">
        <v>6.6079999999999997</v>
      </c>
      <c r="E241" s="1">
        <v>239.00700000000001</v>
      </c>
      <c r="F241" s="1">
        <v>0.64100000000000001</v>
      </c>
      <c r="H241" s="1">
        <v>239.02799999999999</v>
      </c>
      <c r="I241" s="1">
        <v>-6.5500000000000003E-2</v>
      </c>
      <c r="J241" s="6"/>
      <c r="K241" s="1">
        <v>238.99700000000001</v>
      </c>
      <c r="L241" s="1">
        <v>1.5469999999999999</v>
      </c>
      <c r="N241" s="1">
        <v>239.07</v>
      </c>
      <c r="O241" s="1">
        <v>-0.88749999999999996</v>
      </c>
      <c r="Q241" s="1">
        <v>238.946</v>
      </c>
      <c r="R241" s="1">
        <v>-0.36499999999999999</v>
      </c>
      <c r="S241" s="6"/>
      <c r="T241" s="1">
        <v>238.87899999999999</v>
      </c>
      <c r="U241" s="1">
        <v>-1.5985</v>
      </c>
      <c r="W241" s="1">
        <v>238.959</v>
      </c>
      <c r="X241" s="1">
        <v>-1.6655</v>
      </c>
      <c r="Z241" s="1">
        <v>238.917</v>
      </c>
      <c r="AA241" s="1">
        <v>-1.5369999999999999</v>
      </c>
      <c r="AB241" s="6"/>
      <c r="AC241" s="1">
        <v>238.95599999999999</v>
      </c>
      <c r="AD241" s="1">
        <v>-2.8294999999999999</v>
      </c>
      <c r="AF241" s="1">
        <v>239.023</v>
      </c>
      <c r="AG241" s="1">
        <v>-2.6480000000000001</v>
      </c>
      <c r="AJ241"/>
      <c r="AK241" s="6"/>
      <c r="AM241" s="1">
        <v>238.99600000000001</v>
      </c>
      <c r="AN241" s="1">
        <v>-1.5125</v>
      </c>
      <c r="AS241" s="1">
        <v>238.911</v>
      </c>
      <c r="AT241" s="1">
        <v>-3.8134999999999999</v>
      </c>
    </row>
    <row r="242" spans="2:46" x14ac:dyDescent="0.2">
      <c r="B242" s="1">
        <v>240.09</v>
      </c>
      <c r="C242" s="1">
        <v>6.5484999999999998</v>
      </c>
      <c r="E242" s="1">
        <v>240.01300000000001</v>
      </c>
      <c r="F242" s="1">
        <v>0.5645</v>
      </c>
      <c r="H242" s="1">
        <v>240.03399999999999</v>
      </c>
      <c r="I242" s="1">
        <v>-0.14299999999999999</v>
      </c>
      <c r="J242" s="6"/>
      <c r="K242" s="1">
        <v>240.00299999999999</v>
      </c>
      <c r="L242" s="1">
        <v>1.4795</v>
      </c>
      <c r="N242" s="1">
        <v>240.07599999999999</v>
      </c>
      <c r="O242" s="1">
        <v>-0.80500000000000005</v>
      </c>
      <c r="Q242" s="1">
        <v>239.95099999999999</v>
      </c>
      <c r="R242" s="1">
        <v>-0.373</v>
      </c>
      <c r="S242" s="6"/>
      <c r="T242" s="1">
        <v>239.88399999999999</v>
      </c>
      <c r="U242" s="1">
        <v>-1.5934999999999999</v>
      </c>
      <c r="W242" s="1">
        <v>239.96700000000001</v>
      </c>
      <c r="X242" s="1">
        <v>-1.6639999999999999</v>
      </c>
      <c r="Z242" s="1">
        <v>239.922</v>
      </c>
      <c r="AA242" s="1">
        <v>-1.5295000000000001</v>
      </c>
      <c r="AB242" s="6"/>
      <c r="AC242" s="1">
        <v>239.96299999999999</v>
      </c>
      <c r="AD242" s="1">
        <v>-2.8239999999999998</v>
      </c>
      <c r="AF242" s="1">
        <v>240.029</v>
      </c>
      <c r="AG242" s="1">
        <v>-2.6444999999999999</v>
      </c>
      <c r="AJ242"/>
      <c r="AK242" s="6"/>
      <c r="AM242" s="1">
        <v>240</v>
      </c>
      <c r="AN242" s="1">
        <v>-1.6020000000000001</v>
      </c>
      <c r="AS242" s="1">
        <v>239.91900000000001</v>
      </c>
      <c r="AT242" s="1">
        <v>-3.82</v>
      </c>
    </row>
    <row r="243" spans="2:46" x14ac:dyDescent="0.2">
      <c r="B243" s="1">
        <v>241.096</v>
      </c>
      <c r="C243" s="1">
        <v>6.484</v>
      </c>
      <c r="E243" s="1">
        <v>241.02099999999999</v>
      </c>
      <c r="F243" s="1">
        <v>0.495</v>
      </c>
      <c r="H243" s="1">
        <v>241.04</v>
      </c>
      <c r="I243" s="1">
        <v>-0.2185</v>
      </c>
      <c r="J243" s="6"/>
      <c r="K243" s="1">
        <v>241.00899999999999</v>
      </c>
      <c r="L243" s="1">
        <v>1.409</v>
      </c>
      <c r="N243" s="1">
        <v>241.08099999999999</v>
      </c>
      <c r="O243" s="1">
        <v>-0.73850000000000005</v>
      </c>
      <c r="Q243" s="1">
        <v>240.958</v>
      </c>
      <c r="R243" s="1">
        <v>-0.38</v>
      </c>
      <c r="S243" s="6"/>
      <c r="T243" s="1">
        <v>240.88800000000001</v>
      </c>
      <c r="U243" s="1">
        <v>-1.6040000000000001</v>
      </c>
      <c r="W243" s="1">
        <v>240.97399999999999</v>
      </c>
      <c r="X243" s="1">
        <v>-1.6705000000000001</v>
      </c>
      <c r="Z243" s="1">
        <v>240.928</v>
      </c>
      <c r="AA243" s="1">
        <v>-1.5309999999999999</v>
      </c>
      <c r="AB243" s="6"/>
      <c r="AC243" s="1">
        <v>240.97</v>
      </c>
      <c r="AD243" s="1">
        <v>-2.8214999999999999</v>
      </c>
      <c r="AF243" s="1">
        <v>241.03299999999999</v>
      </c>
      <c r="AG243" s="1">
        <v>-2.637</v>
      </c>
      <c r="AJ243"/>
      <c r="AK243" s="6"/>
      <c r="AM243" s="1">
        <v>241.00399999999999</v>
      </c>
      <c r="AN243" s="1">
        <v>-1.6855</v>
      </c>
      <c r="AS243" s="1">
        <v>240.928</v>
      </c>
      <c r="AT243" s="1">
        <v>-3.8214999999999999</v>
      </c>
    </row>
    <row r="244" spans="2:46" x14ac:dyDescent="0.2">
      <c r="B244" s="1">
        <v>242.10599999999999</v>
      </c>
      <c r="C244" s="1">
        <v>6.431</v>
      </c>
      <c r="E244" s="1">
        <v>242.02699999999999</v>
      </c>
      <c r="F244" s="1">
        <v>0.41699999999999998</v>
      </c>
      <c r="H244" s="1">
        <v>242.04900000000001</v>
      </c>
      <c r="I244" s="1">
        <v>-0.30199999999999999</v>
      </c>
      <c r="J244" s="6"/>
      <c r="K244" s="1">
        <v>242.01599999999999</v>
      </c>
      <c r="L244" s="1">
        <v>1.329</v>
      </c>
      <c r="N244" s="1">
        <v>242.08699999999999</v>
      </c>
      <c r="O244" s="1">
        <v>-0.69299999999999995</v>
      </c>
      <c r="Q244" s="1">
        <v>241.96600000000001</v>
      </c>
      <c r="R244" s="1">
        <v>-0.38900000000000001</v>
      </c>
      <c r="S244" s="6"/>
      <c r="T244" s="1">
        <v>241.95599999999999</v>
      </c>
      <c r="U244" s="1">
        <v>-1.6105</v>
      </c>
      <c r="W244" s="1">
        <v>241.97900000000001</v>
      </c>
      <c r="X244" s="1">
        <v>-1.671</v>
      </c>
      <c r="Z244" s="1">
        <v>241.935</v>
      </c>
      <c r="AA244" s="1">
        <v>-1.536</v>
      </c>
      <c r="AB244" s="6"/>
      <c r="AC244" s="1">
        <v>241.97200000000001</v>
      </c>
      <c r="AD244" s="1">
        <v>-2.8130000000000002</v>
      </c>
      <c r="AF244" s="1">
        <v>242.042</v>
      </c>
      <c r="AG244" s="1">
        <v>-2.6484999999999999</v>
      </c>
      <c r="AJ244"/>
      <c r="AK244" s="6"/>
      <c r="AM244" s="1">
        <v>242.00800000000001</v>
      </c>
      <c r="AN244" s="1">
        <v>-1.768</v>
      </c>
      <c r="AS244" s="1">
        <v>241.93299999999999</v>
      </c>
      <c r="AT244" s="1">
        <v>-3.8260000000000001</v>
      </c>
    </row>
    <row r="245" spans="2:46" x14ac:dyDescent="0.2">
      <c r="B245" s="1">
        <v>243.11199999999999</v>
      </c>
      <c r="C245" s="1">
        <v>6.3765000000000001</v>
      </c>
      <c r="E245" s="1">
        <v>243.03399999999999</v>
      </c>
      <c r="F245" s="1">
        <v>0.33900000000000002</v>
      </c>
      <c r="H245" s="1">
        <v>243.05500000000001</v>
      </c>
      <c r="I245" s="1">
        <v>-0.374</v>
      </c>
      <c r="J245" s="6"/>
      <c r="K245" s="1">
        <v>243.02</v>
      </c>
      <c r="L245" s="1">
        <v>1.254</v>
      </c>
      <c r="N245" s="1">
        <v>243.09399999999999</v>
      </c>
      <c r="O245" s="1">
        <v>-0.64249999999999996</v>
      </c>
      <c r="Q245" s="1">
        <v>242.97</v>
      </c>
      <c r="R245" s="1">
        <v>-0.39500000000000002</v>
      </c>
      <c r="S245" s="6"/>
      <c r="T245" s="1">
        <v>242.988</v>
      </c>
      <c r="U245" s="1">
        <v>-1.61</v>
      </c>
      <c r="W245" s="1">
        <v>242.98400000000001</v>
      </c>
      <c r="X245" s="1">
        <v>-1.6719999999999999</v>
      </c>
      <c r="Z245" s="1">
        <v>242.94399999999999</v>
      </c>
      <c r="AA245" s="1">
        <v>-1.5309999999999999</v>
      </c>
      <c r="AB245" s="6"/>
      <c r="AC245" s="1">
        <v>242.97900000000001</v>
      </c>
      <c r="AD245" s="1">
        <v>-2.8184999999999998</v>
      </c>
      <c r="AF245" s="1">
        <v>243.04599999999999</v>
      </c>
      <c r="AG245" s="1">
        <v>-2.6459999999999999</v>
      </c>
      <c r="AJ245"/>
      <c r="AK245" s="6"/>
      <c r="AM245" s="1">
        <v>243.01400000000001</v>
      </c>
      <c r="AN245" s="1">
        <v>-1.8460000000000001</v>
      </c>
      <c r="AS245" s="1">
        <v>242.93899999999999</v>
      </c>
      <c r="AT245" s="1">
        <v>-3.8370000000000002</v>
      </c>
    </row>
    <row r="246" spans="2:46" x14ac:dyDescent="0.2">
      <c r="B246" s="1">
        <v>244.11699999999999</v>
      </c>
      <c r="C246" s="1">
        <v>6.3185000000000002</v>
      </c>
      <c r="E246" s="1">
        <v>244.03700000000001</v>
      </c>
      <c r="F246" s="1">
        <v>0.26950000000000002</v>
      </c>
      <c r="H246" s="1">
        <v>244.06</v>
      </c>
      <c r="I246" s="1">
        <v>-0.45050000000000001</v>
      </c>
      <c r="J246" s="6"/>
      <c r="K246" s="1">
        <v>244.02799999999999</v>
      </c>
      <c r="L246" s="1">
        <v>1.1825000000000001</v>
      </c>
      <c r="N246" s="1">
        <v>244.09899999999999</v>
      </c>
      <c r="O246" s="1">
        <v>-0.60299999999999998</v>
      </c>
      <c r="Q246" s="1">
        <v>243.97800000000001</v>
      </c>
      <c r="R246" s="1">
        <v>-0.40100000000000002</v>
      </c>
      <c r="S246" s="6"/>
      <c r="T246" s="1">
        <v>243.99199999999999</v>
      </c>
      <c r="U246" s="1">
        <v>-1.6120000000000001</v>
      </c>
      <c r="W246" s="1">
        <v>243.99100000000001</v>
      </c>
      <c r="X246" s="1">
        <v>-1.6639999999999999</v>
      </c>
      <c r="Z246" s="1">
        <v>243.95</v>
      </c>
      <c r="AA246" s="1">
        <v>-1.5355000000000001</v>
      </c>
      <c r="AB246" s="6"/>
      <c r="AC246" s="1">
        <v>243.98400000000001</v>
      </c>
      <c r="AD246" s="1">
        <v>-2.8174999999999999</v>
      </c>
      <c r="AF246" s="1">
        <v>244.05199999999999</v>
      </c>
      <c r="AG246" s="1">
        <v>-2.6619999999999999</v>
      </c>
      <c r="AJ246"/>
      <c r="AK246" s="6"/>
      <c r="AM246" s="1">
        <v>244.01900000000001</v>
      </c>
      <c r="AN246" s="1">
        <v>-1.92</v>
      </c>
      <c r="AS246" s="1">
        <v>243.94399999999999</v>
      </c>
      <c r="AT246" s="1">
        <v>-3.835</v>
      </c>
    </row>
    <row r="247" spans="2:46" x14ac:dyDescent="0.2">
      <c r="B247" s="1">
        <v>245.12299999999999</v>
      </c>
      <c r="C247" s="1">
        <v>6.2614999999999998</v>
      </c>
      <c r="E247" s="1">
        <v>245.041</v>
      </c>
      <c r="F247" s="1">
        <v>0.1925</v>
      </c>
      <c r="H247" s="1">
        <v>245.065</v>
      </c>
      <c r="I247" s="1">
        <v>-0.52100000000000002</v>
      </c>
      <c r="J247" s="6"/>
      <c r="K247" s="1">
        <v>245.035</v>
      </c>
      <c r="L247" s="1">
        <v>1.1094999999999999</v>
      </c>
      <c r="N247" s="1">
        <v>245.10499999999999</v>
      </c>
      <c r="O247" s="1">
        <v>-0.56399999999999995</v>
      </c>
      <c r="Q247" s="1">
        <v>244.98500000000001</v>
      </c>
      <c r="R247" s="1">
        <v>-0.39750000000000002</v>
      </c>
      <c r="S247" s="6"/>
      <c r="T247" s="1">
        <v>244.99600000000001</v>
      </c>
      <c r="U247" s="1">
        <v>-1.6154999999999999</v>
      </c>
      <c r="W247" s="1">
        <v>245</v>
      </c>
      <c r="X247" s="1">
        <v>-1.6665000000000001</v>
      </c>
      <c r="Z247" s="1">
        <v>244.95599999999999</v>
      </c>
      <c r="AA247" s="1">
        <v>-1.5445</v>
      </c>
      <c r="AB247" s="6"/>
      <c r="AC247" s="1">
        <v>244.988</v>
      </c>
      <c r="AD247" s="1">
        <v>-2.8130000000000002</v>
      </c>
      <c r="AF247" s="1">
        <v>245.06200000000001</v>
      </c>
      <c r="AG247" s="1">
        <v>-2.6655000000000002</v>
      </c>
      <c r="AJ247"/>
      <c r="AK247" s="6"/>
      <c r="AM247" s="1">
        <v>245.024</v>
      </c>
      <c r="AN247" s="1">
        <v>-1.9990000000000001</v>
      </c>
      <c r="AS247" s="1">
        <v>244.952</v>
      </c>
      <c r="AT247" s="1">
        <v>-3.8359999999999999</v>
      </c>
    </row>
    <row r="248" spans="2:46" x14ac:dyDescent="0.2">
      <c r="B248" s="1">
        <v>246.13200000000001</v>
      </c>
      <c r="C248" s="1">
        <v>6.2050000000000001</v>
      </c>
      <c r="E248" s="1">
        <v>246.04900000000001</v>
      </c>
      <c r="F248" s="1">
        <v>0.11600000000000001</v>
      </c>
      <c r="H248" s="1">
        <v>246.07</v>
      </c>
      <c r="I248" s="1">
        <v>-0.59299999999999997</v>
      </c>
      <c r="J248" s="6"/>
      <c r="K248" s="1">
        <v>246.04</v>
      </c>
      <c r="L248" s="1">
        <v>1.0325</v>
      </c>
      <c r="N248" s="1">
        <v>246.10900000000001</v>
      </c>
      <c r="O248" s="1">
        <v>-0.53300000000000003</v>
      </c>
      <c r="Q248" s="1">
        <v>245.99100000000001</v>
      </c>
      <c r="R248" s="1">
        <v>-0.39650000000000002</v>
      </c>
      <c r="S248" s="6"/>
      <c r="T248" s="1">
        <v>246.00299999999999</v>
      </c>
      <c r="U248" s="1">
        <v>-1.6194999999999999</v>
      </c>
      <c r="W248" s="1">
        <v>246.00800000000001</v>
      </c>
      <c r="X248" s="1">
        <v>-1.661</v>
      </c>
      <c r="Z248" s="1">
        <v>245.965</v>
      </c>
      <c r="AA248" s="1">
        <v>-1.5465</v>
      </c>
      <c r="AB248" s="6"/>
      <c r="AC248" s="1">
        <v>245.994</v>
      </c>
      <c r="AD248" s="1">
        <v>-2.8054999999999999</v>
      </c>
      <c r="AF248" s="1">
        <v>246.06700000000001</v>
      </c>
      <c r="AG248" s="1">
        <v>-2.6735000000000002</v>
      </c>
      <c r="AJ248"/>
      <c r="AK248" s="6"/>
      <c r="AM248" s="1">
        <v>246.029</v>
      </c>
      <c r="AN248" s="1">
        <v>-2.0834999999999999</v>
      </c>
      <c r="AS248" s="1">
        <v>245.959</v>
      </c>
      <c r="AT248" s="1">
        <v>-3.8365</v>
      </c>
    </row>
    <row r="249" spans="2:46" x14ac:dyDescent="0.2">
      <c r="B249" s="1">
        <v>247.137</v>
      </c>
      <c r="C249" s="1">
        <v>6.1390000000000002</v>
      </c>
      <c r="E249" s="1">
        <v>247.059</v>
      </c>
      <c r="F249" s="1">
        <v>3.3000000000000002E-2</v>
      </c>
      <c r="H249" s="1">
        <v>247.07499999999999</v>
      </c>
      <c r="I249" s="1">
        <v>-0.67700000000000005</v>
      </c>
      <c r="J249" s="6"/>
      <c r="K249" s="1">
        <v>247.04400000000001</v>
      </c>
      <c r="L249" s="1">
        <v>0.95899999999999996</v>
      </c>
      <c r="N249" s="1">
        <v>247.12</v>
      </c>
      <c r="O249" s="1">
        <v>-0.50600000000000001</v>
      </c>
      <c r="Q249" s="1">
        <v>246.99600000000001</v>
      </c>
      <c r="R249" s="1">
        <v>-0.39400000000000002</v>
      </c>
      <c r="S249" s="6"/>
      <c r="T249" s="1">
        <v>247.012</v>
      </c>
      <c r="U249" s="1">
        <v>-1.6220000000000001</v>
      </c>
      <c r="W249" s="1">
        <v>247.01300000000001</v>
      </c>
      <c r="X249" s="1">
        <v>-1.6445000000000001</v>
      </c>
      <c r="Z249" s="1">
        <v>246.96899999999999</v>
      </c>
      <c r="AA249" s="1">
        <v>-1.5545</v>
      </c>
      <c r="AB249" s="6"/>
      <c r="AC249" s="1">
        <v>247.005</v>
      </c>
      <c r="AD249" s="1">
        <v>-2.8029999999999999</v>
      </c>
      <c r="AF249" s="1">
        <v>247.07599999999999</v>
      </c>
      <c r="AG249" s="1">
        <v>-2.6709999999999998</v>
      </c>
      <c r="AJ249"/>
      <c r="AK249" s="6"/>
      <c r="AM249" s="1">
        <v>247.035</v>
      </c>
      <c r="AN249" s="1">
        <v>-2.1585000000000001</v>
      </c>
      <c r="AS249" s="1">
        <v>246.964</v>
      </c>
      <c r="AT249" s="1">
        <v>-3.8450000000000002</v>
      </c>
    </row>
    <row r="250" spans="2:46" x14ac:dyDescent="0.2">
      <c r="B250" s="1">
        <v>248.14099999999999</v>
      </c>
      <c r="C250" s="1">
        <v>6.08</v>
      </c>
      <c r="E250" s="1">
        <v>248.066</v>
      </c>
      <c r="F250" s="1">
        <v>-3.5999999999999997E-2</v>
      </c>
      <c r="H250" s="1">
        <v>248.08099999999999</v>
      </c>
      <c r="I250" s="1">
        <v>-0.748</v>
      </c>
      <c r="J250" s="6"/>
      <c r="K250" s="1">
        <v>248.05</v>
      </c>
      <c r="L250" s="1">
        <v>0.88449999999999995</v>
      </c>
      <c r="N250" s="1">
        <v>248.12700000000001</v>
      </c>
      <c r="O250" s="1">
        <v>-0.47799999999999998</v>
      </c>
      <c r="Q250" s="1">
        <v>248.001</v>
      </c>
      <c r="R250" s="1">
        <v>-0.39550000000000002</v>
      </c>
      <c r="S250" s="6"/>
      <c r="T250" s="1">
        <v>248.017</v>
      </c>
      <c r="U250" s="1">
        <v>-1.625</v>
      </c>
      <c r="W250" s="1">
        <v>248.01599999999999</v>
      </c>
      <c r="X250" s="1">
        <v>-1.64</v>
      </c>
      <c r="Z250" s="1">
        <v>247.97399999999999</v>
      </c>
      <c r="AA250" s="1">
        <v>-1.55</v>
      </c>
      <c r="AB250" s="6"/>
      <c r="AC250" s="1">
        <v>248.01</v>
      </c>
      <c r="AD250" s="1">
        <v>-2.8065000000000002</v>
      </c>
      <c r="AF250" s="1">
        <v>248.083</v>
      </c>
      <c r="AG250" s="1">
        <v>-2.673</v>
      </c>
      <c r="AJ250"/>
      <c r="AK250" s="6"/>
      <c r="AM250" s="1">
        <v>248.04</v>
      </c>
      <c r="AN250" s="1">
        <v>-2.2435</v>
      </c>
      <c r="AS250" s="1">
        <v>247.96799999999999</v>
      </c>
      <c r="AT250" s="1">
        <v>-3.8450000000000002</v>
      </c>
    </row>
    <row r="251" spans="2:46" x14ac:dyDescent="0.2">
      <c r="B251" s="1">
        <v>249.14599999999999</v>
      </c>
      <c r="C251" s="1">
        <v>6.0179999999999998</v>
      </c>
      <c r="E251" s="1">
        <v>249.07300000000001</v>
      </c>
      <c r="F251" s="1">
        <v>-0.11799999999999999</v>
      </c>
      <c r="H251" s="1">
        <v>249.08500000000001</v>
      </c>
      <c r="I251" s="1">
        <v>-0.83799999999999997</v>
      </c>
      <c r="J251" s="6"/>
      <c r="K251" s="1">
        <v>249.05500000000001</v>
      </c>
      <c r="L251" s="1">
        <v>0.8115</v>
      </c>
      <c r="N251" s="1">
        <v>249.13300000000001</v>
      </c>
      <c r="O251" s="1">
        <v>-0.45150000000000001</v>
      </c>
      <c r="Q251" s="1">
        <v>249.006</v>
      </c>
      <c r="R251" s="1">
        <v>-0.40050000000000002</v>
      </c>
      <c r="S251" s="6"/>
      <c r="T251" s="1">
        <v>249.02199999999999</v>
      </c>
      <c r="U251" s="1">
        <v>-1.6234999999999999</v>
      </c>
      <c r="W251" s="1">
        <v>249.02</v>
      </c>
      <c r="X251" s="1">
        <v>-1.6339999999999999</v>
      </c>
      <c r="Z251" s="1">
        <v>248.98099999999999</v>
      </c>
      <c r="AA251" s="1">
        <v>-1.5549999999999999</v>
      </c>
      <c r="AB251" s="6"/>
      <c r="AC251" s="1">
        <v>249.017</v>
      </c>
      <c r="AD251" s="1">
        <v>-2.8065000000000002</v>
      </c>
      <c r="AF251" s="1">
        <v>249.08799999999999</v>
      </c>
      <c r="AG251" s="1">
        <v>-2.6709999999999998</v>
      </c>
      <c r="AJ251"/>
      <c r="AK251" s="6"/>
      <c r="AM251" s="1">
        <v>249.04599999999999</v>
      </c>
      <c r="AN251" s="1">
        <v>-2.3260000000000001</v>
      </c>
    </row>
    <row r="252" spans="2:46" x14ac:dyDescent="0.2">
      <c r="B252" s="1">
        <v>250.15199999999999</v>
      </c>
      <c r="C252" s="1">
        <v>5.9675000000000002</v>
      </c>
      <c r="E252" s="1">
        <v>250.07900000000001</v>
      </c>
      <c r="F252" s="1">
        <v>-0.19</v>
      </c>
      <c r="H252" s="1">
        <v>250.089</v>
      </c>
      <c r="I252" s="1">
        <v>-0.90549999999999997</v>
      </c>
      <c r="J252" s="6"/>
      <c r="K252" s="1">
        <v>250.06100000000001</v>
      </c>
      <c r="L252" s="1">
        <v>0.73350000000000004</v>
      </c>
      <c r="N252" s="1">
        <v>250.14099999999999</v>
      </c>
      <c r="O252" s="1">
        <v>-0.41699999999999998</v>
      </c>
      <c r="Q252" s="1">
        <v>250.01</v>
      </c>
      <c r="R252" s="1">
        <v>-0.41099999999999998</v>
      </c>
      <c r="S252" s="6"/>
      <c r="T252" s="1">
        <v>250.02500000000001</v>
      </c>
      <c r="U252" s="1">
        <v>-1.6259999999999999</v>
      </c>
      <c r="W252" s="1">
        <v>250.02500000000001</v>
      </c>
      <c r="X252" s="1">
        <v>-1.6385000000000001</v>
      </c>
      <c r="Z252" s="1">
        <v>249.98699999999999</v>
      </c>
      <c r="AA252" s="1">
        <v>-1.5569999999999999</v>
      </c>
      <c r="AB252" s="6"/>
      <c r="AC252" s="1">
        <v>250.023</v>
      </c>
      <c r="AD252" s="1">
        <v>-2.8149999999999999</v>
      </c>
      <c r="AF252" s="1">
        <v>250.096</v>
      </c>
      <c r="AG252" s="1">
        <v>-2.6760000000000002</v>
      </c>
      <c r="AJ252"/>
      <c r="AK252" s="6"/>
      <c r="AM252" s="1">
        <v>250.428</v>
      </c>
      <c r="AN252" s="1">
        <v>-2.4325000000000001</v>
      </c>
    </row>
    <row r="253" spans="2:46" x14ac:dyDescent="0.2">
      <c r="B253" s="1">
        <v>251.15799999999999</v>
      </c>
      <c r="C253" s="1">
        <v>5.9085000000000001</v>
      </c>
      <c r="E253" s="1">
        <v>251.08500000000001</v>
      </c>
      <c r="F253" s="1">
        <v>-0.25950000000000001</v>
      </c>
      <c r="H253" s="1">
        <v>251.095</v>
      </c>
      <c r="I253" s="1">
        <v>-0.98099999999999998</v>
      </c>
      <c r="J253" s="6"/>
      <c r="K253" s="1">
        <v>251.06899999999999</v>
      </c>
      <c r="L253" s="1">
        <v>0.66</v>
      </c>
      <c r="N253" s="1">
        <v>251.149</v>
      </c>
      <c r="O253" s="1">
        <v>-0.39700000000000002</v>
      </c>
      <c r="Q253" s="1">
        <v>251.01599999999999</v>
      </c>
      <c r="R253" s="1">
        <v>-0.41249999999999998</v>
      </c>
      <c r="S253" s="6"/>
      <c r="T253" s="1">
        <v>251.02799999999999</v>
      </c>
      <c r="U253" s="1">
        <v>-1.6265000000000001</v>
      </c>
      <c r="W253" s="1">
        <v>251.03100000000001</v>
      </c>
      <c r="X253" s="1">
        <v>-1.6355</v>
      </c>
      <c r="Z253" s="1">
        <v>250.995</v>
      </c>
      <c r="AA253" s="1">
        <v>-1.5629999999999999</v>
      </c>
      <c r="AB253" s="6"/>
      <c r="AC253" s="1">
        <v>251.03</v>
      </c>
      <c r="AD253" s="1">
        <v>-2.819</v>
      </c>
      <c r="AF253" s="1">
        <v>251.102</v>
      </c>
      <c r="AG253" s="1">
        <v>-2.6844999999999999</v>
      </c>
      <c r="AJ253"/>
      <c r="AK253" s="6"/>
      <c r="AM253" s="1">
        <v>251.434</v>
      </c>
      <c r="AN253" s="1">
        <v>-2.5129999999999999</v>
      </c>
    </row>
    <row r="254" spans="2:46" x14ac:dyDescent="0.2">
      <c r="B254" s="1">
        <v>252.16499999999999</v>
      </c>
      <c r="C254" s="1">
        <v>5.8410000000000002</v>
      </c>
      <c r="E254" s="1">
        <v>252.09200000000001</v>
      </c>
      <c r="F254" s="1">
        <v>-0.32950000000000002</v>
      </c>
      <c r="H254" s="1">
        <v>252.1</v>
      </c>
      <c r="I254" s="1">
        <v>-1.048</v>
      </c>
      <c r="J254" s="6"/>
      <c r="K254" s="1">
        <v>252.07400000000001</v>
      </c>
      <c r="L254" s="1">
        <v>0.58399999999999996</v>
      </c>
      <c r="N254" s="1">
        <v>252.154</v>
      </c>
      <c r="O254" s="1">
        <v>-0.374</v>
      </c>
      <c r="Q254" s="1">
        <v>252.02199999999999</v>
      </c>
      <c r="R254" s="1">
        <v>-0.40600000000000003</v>
      </c>
      <c r="S254" s="6"/>
      <c r="T254" s="1">
        <v>252.03299999999999</v>
      </c>
      <c r="U254" s="1">
        <v>-1.6245000000000001</v>
      </c>
      <c r="W254" s="1">
        <v>252.03800000000001</v>
      </c>
      <c r="X254" s="1">
        <v>-1.6405000000000001</v>
      </c>
      <c r="Z254" s="1">
        <v>251.999</v>
      </c>
      <c r="AA254" s="1">
        <v>-1.5725</v>
      </c>
      <c r="AB254" s="6"/>
      <c r="AC254" s="1">
        <v>252.035</v>
      </c>
      <c r="AD254" s="1">
        <v>-2.83</v>
      </c>
      <c r="AF254" s="1">
        <v>252.10900000000001</v>
      </c>
      <c r="AG254" s="1">
        <v>-2.6825000000000001</v>
      </c>
      <c r="AJ254"/>
      <c r="AK254" s="6"/>
      <c r="AM254" s="1">
        <v>252.44300000000001</v>
      </c>
      <c r="AN254" s="1">
        <v>-2.593</v>
      </c>
    </row>
    <row r="255" spans="2:46" x14ac:dyDescent="0.2">
      <c r="B255" s="1">
        <v>253.172</v>
      </c>
      <c r="C255" s="1">
        <v>5.7809999999999997</v>
      </c>
      <c r="E255" s="1">
        <v>253.09899999999999</v>
      </c>
      <c r="F255" s="1">
        <v>-0.39750000000000002</v>
      </c>
      <c r="H255" s="1">
        <v>253.108</v>
      </c>
      <c r="I255" s="1">
        <v>-1.1165</v>
      </c>
      <c r="J255" s="6"/>
      <c r="K255" s="1">
        <v>253.08</v>
      </c>
      <c r="L255" s="1">
        <v>0.51900000000000002</v>
      </c>
      <c r="N255" s="1">
        <v>253.16</v>
      </c>
      <c r="O255" s="1">
        <v>-0.35249999999999998</v>
      </c>
      <c r="Q255" s="1">
        <v>253.029</v>
      </c>
      <c r="R255" s="1">
        <v>-0.40749999999999997</v>
      </c>
      <c r="S255" s="6"/>
      <c r="T255" s="1">
        <v>253.03800000000001</v>
      </c>
      <c r="U255" s="1">
        <v>-1.6335</v>
      </c>
      <c r="W255" s="1">
        <v>253.042</v>
      </c>
      <c r="X255" s="1">
        <v>-1.6415</v>
      </c>
      <c r="Z255" s="1">
        <v>253.005</v>
      </c>
      <c r="AA255" s="1">
        <v>-1.571</v>
      </c>
      <c r="AB255" s="6"/>
      <c r="AC255" s="1">
        <v>253.04400000000001</v>
      </c>
      <c r="AD255" s="1">
        <v>-2.8260000000000001</v>
      </c>
      <c r="AF255" s="1">
        <v>253.11500000000001</v>
      </c>
      <c r="AG255" s="1">
        <v>-2.6915</v>
      </c>
      <c r="AJ255"/>
      <c r="AK255" s="6"/>
      <c r="AM255" s="1">
        <v>253.452</v>
      </c>
      <c r="AN255" s="1">
        <v>-2.6804999999999999</v>
      </c>
    </row>
    <row r="256" spans="2:46" x14ac:dyDescent="0.2">
      <c r="B256" s="1">
        <v>254.18100000000001</v>
      </c>
      <c r="C256" s="1">
        <v>5.7249999999999996</v>
      </c>
      <c r="E256" s="1">
        <v>254.108</v>
      </c>
      <c r="F256" s="1">
        <v>-0.48</v>
      </c>
      <c r="H256" s="1">
        <v>254.114</v>
      </c>
      <c r="I256" s="1">
        <v>-1.1935</v>
      </c>
      <c r="J256" s="6"/>
      <c r="K256" s="1">
        <v>254.083</v>
      </c>
      <c r="L256" s="1">
        <v>0.44900000000000001</v>
      </c>
      <c r="N256" s="1">
        <v>254.167</v>
      </c>
      <c r="O256" s="1">
        <v>-0.33050000000000002</v>
      </c>
      <c r="Q256" s="1">
        <v>254.03700000000001</v>
      </c>
      <c r="R256" s="1">
        <v>-0.41199999999999998</v>
      </c>
      <c r="S256" s="6"/>
      <c r="T256" s="1">
        <v>254.04499999999999</v>
      </c>
      <c r="U256" s="1">
        <v>-1.6285000000000001</v>
      </c>
      <c r="W256" s="1">
        <v>254.04599999999999</v>
      </c>
      <c r="X256" s="1">
        <v>-1.651</v>
      </c>
      <c r="Z256" s="1">
        <v>254.012</v>
      </c>
      <c r="AA256" s="1">
        <v>-1.5720000000000001</v>
      </c>
      <c r="AB256" s="6"/>
      <c r="AC256" s="1">
        <v>254.04900000000001</v>
      </c>
      <c r="AD256" s="1">
        <v>-2.8279999999999998</v>
      </c>
      <c r="AF256" s="1">
        <v>254.119</v>
      </c>
      <c r="AG256" s="1">
        <v>-2.6920000000000002</v>
      </c>
      <c r="AJ256"/>
      <c r="AK256" s="6"/>
      <c r="AM256" s="1">
        <v>254.50299999999999</v>
      </c>
      <c r="AN256" s="1">
        <v>-2.7625000000000002</v>
      </c>
    </row>
    <row r="257" spans="2:40" x14ac:dyDescent="0.2">
      <c r="B257" s="1">
        <v>255.18700000000001</v>
      </c>
      <c r="C257" s="1">
        <v>5.6654999999999998</v>
      </c>
      <c r="E257" s="1">
        <v>255.11699999999999</v>
      </c>
      <c r="F257" s="1">
        <v>-0.55000000000000004</v>
      </c>
      <c r="H257" s="1">
        <v>255.11799999999999</v>
      </c>
      <c r="I257" s="1">
        <v>-1.264</v>
      </c>
      <c r="J257" s="6"/>
      <c r="K257" s="1">
        <v>255.08799999999999</v>
      </c>
      <c r="L257" s="1">
        <v>0.38150000000000001</v>
      </c>
      <c r="N257" s="1">
        <v>255.173</v>
      </c>
      <c r="O257" s="1">
        <v>-0.315</v>
      </c>
      <c r="Q257" s="1">
        <v>255.04400000000001</v>
      </c>
      <c r="R257" s="1">
        <v>-0.41249999999999998</v>
      </c>
      <c r="S257" s="6"/>
      <c r="T257" s="1">
        <v>255.05199999999999</v>
      </c>
      <c r="U257" s="1">
        <v>-1.631</v>
      </c>
      <c r="W257" s="1">
        <v>255.053</v>
      </c>
      <c r="X257" s="1">
        <v>-1.6485000000000001</v>
      </c>
      <c r="Z257" s="1">
        <v>255.02099999999999</v>
      </c>
      <c r="AA257" s="1">
        <v>-1.5825</v>
      </c>
      <c r="AB257" s="6"/>
      <c r="AC257" s="1">
        <v>255.05600000000001</v>
      </c>
      <c r="AD257" s="1">
        <v>-2.8214999999999999</v>
      </c>
      <c r="AF257" s="1">
        <v>255.12700000000001</v>
      </c>
      <c r="AG257" s="1">
        <v>-2.6985000000000001</v>
      </c>
      <c r="AJ257"/>
      <c r="AK257" s="6"/>
      <c r="AM257" s="1">
        <v>255.51</v>
      </c>
      <c r="AN257" s="1">
        <v>-2.843</v>
      </c>
    </row>
    <row r="258" spans="2:40" x14ac:dyDescent="0.2">
      <c r="B258" s="1">
        <v>256.19</v>
      </c>
      <c r="C258" s="1">
        <v>5.61</v>
      </c>
      <c r="E258" s="1">
        <v>256.12299999999999</v>
      </c>
      <c r="F258" s="1">
        <v>-0.62649999999999995</v>
      </c>
      <c r="H258" s="1">
        <v>256.12099999999998</v>
      </c>
      <c r="I258" s="1">
        <v>-1.327</v>
      </c>
      <c r="J258" s="6"/>
      <c r="K258" s="1">
        <v>256.09199999999998</v>
      </c>
      <c r="L258" s="1">
        <v>0.3175</v>
      </c>
      <c r="N258" s="1">
        <v>256.17700000000002</v>
      </c>
      <c r="O258" s="1">
        <v>-0.30249999999999999</v>
      </c>
      <c r="Q258" s="1">
        <v>256.05</v>
      </c>
      <c r="R258" s="1">
        <v>-0.42099999999999999</v>
      </c>
      <c r="S258" s="6"/>
      <c r="T258" s="1">
        <v>256.05599999999998</v>
      </c>
      <c r="U258" s="1">
        <v>-1.6325000000000001</v>
      </c>
      <c r="W258" s="1">
        <v>256.06099999999998</v>
      </c>
      <c r="X258" s="1">
        <v>-1.643</v>
      </c>
      <c r="Z258" s="1">
        <v>256.02999999999997</v>
      </c>
      <c r="AA258" s="1">
        <v>-1.5934999999999999</v>
      </c>
      <c r="AB258" s="6"/>
      <c r="AC258" s="1">
        <v>256.06200000000001</v>
      </c>
      <c r="AD258" s="1">
        <v>-2.8294999999999999</v>
      </c>
      <c r="AF258" s="1">
        <v>256.13200000000001</v>
      </c>
      <c r="AG258" s="1">
        <v>-2.7090000000000001</v>
      </c>
      <c r="AJ258"/>
      <c r="AK258" s="6"/>
      <c r="AM258" s="1">
        <v>256.51499999999999</v>
      </c>
      <c r="AN258" s="1">
        <v>-2.9235000000000002</v>
      </c>
    </row>
    <row r="259" spans="2:40" x14ac:dyDescent="0.2">
      <c r="B259" s="1">
        <v>257.19400000000002</v>
      </c>
      <c r="C259" s="1">
        <v>5.5490000000000004</v>
      </c>
      <c r="E259" s="1">
        <v>257.12700000000001</v>
      </c>
      <c r="F259" s="1">
        <v>-0.69399999999999995</v>
      </c>
      <c r="H259" s="1">
        <v>257.12299999999999</v>
      </c>
      <c r="I259" s="1">
        <v>-1.4095</v>
      </c>
      <c r="J259" s="6"/>
      <c r="K259" s="1">
        <v>257.10000000000002</v>
      </c>
      <c r="L259" s="1">
        <v>0.24199999999999999</v>
      </c>
      <c r="N259" s="1">
        <v>257.18400000000003</v>
      </c>
      <c r="O259" s="1">
        <v>-0.28799999999999998</v>
      </c>
      <c r="Q259" s="1">
        <v>257.05700000000002</v>
      </c>
      <c r="R259" s="1">
        <v>-0.42049999999999998</v>
      </c>
      <c r="S259" s="6"/>
      <c r="T259" s="1">
        <v>257.06299999999999</v>
      </c>
      <c r="U259" s="1">
        <v>-1.6359999999999999</v>
      </c>
      <c r="W259" s="1">
        <v>257.06799999999998</v>
      </c>
      <c r="X259" s="1">
        <v>-1.6559999999999999</v>
      </c>
      <c r="Z259" s="1">
        <v>257.03899999999999</v>
      </c>
      <c r="AA259" s="1">
        <v>-1.595</v>
      </c>
      <c r="AB259" s="6"/>
      <c r="AC259" s="1">
        <v>257.06799999999998</v>
      </c>
      <c r="AD259" s="1">
        <v>-2.8380000000000001</v>
      </c>
      <c r="AF259" s="1">
        <v>257.137</v>
      </c>
      <c r="AG259" s="1">
        <v>-2.7124999999999999</v>
      </c>
      <c r="AJ259"/>
      <c r="AK259" s="6"/>
      <c r="AM259" s="1">
        <v>257.51900000000001</v>
      </c>
      <c r="AN259" s="1">
        <v>-3.0009999999999999</v>
      </c>
    </row>
    <row r="260" spans="2:40" x14ac:dyDescent="0.2">
      <c r="B260" s="1">
        <v>258.2</v>
      </c>
      <c r="C260" s="1">
        <v>5.4924999999999997</v>
      </c>
      <c r="E260" s="1">
        <v>258.13499999999999</v>
      </c>
      <c r="F260" s="1">
        <v>-0.76800000000000002</v>
      </c>
      <c r="H260" s="1">
        <v>258.12900000000002</v>
      </c>
      <c r="I260" s="1">
        <v>-1.488</v>
      </c>
      <c r="J260" s="6"/>
      <c r="K260" s="1">
        <v>258.10399999999998</v>
      </c>
      <c r="L260" s="1">
        <v>0.17050000000000001</v>
      </c>
      <c r="N260" s="1">
        <v>258.18700000000001</v>
      </c>
      <c r="O260" s="1">
        <v>-0.28899999999999998</v>
      </c>
      <c r="Q260" s="1">
        <v>258.06099999999998</v>
      </c>
      <c r="R260" s="1">
        <v>-0.42149999999999999</v>
      </c>
      <c r="S260" s="6"/>
      <c r="T260" s="1">
        <v>258.06900000000002</v>
      </c>
      <c r="U260" s="1">
        <v>-1.627</v>
      </c>
      <c r="W260" s="1">
        <v>258.07400000000001</v>
      </c>
      <c r="X260" s="1">
        <v>-1.6675</v>
      </c>
      <c r="Z260" s="1">
        <v>258.04399999999998</v>
      </c>
      <c r="AA260" s="1">
        <v>-1.5925</v>
      </c>
      <c r="AB260" s="6"/>
      <c r="AC260" s="1">
        <v>258.07600000000002</v>
      </c>
      <c r="AD260" s="1">
        <v>-2.8460000000000001</v>
      </c>
      <c r="AF260" s="1">
        <v>258.14</v>
      </c>
      <c r="AG260" s="1">
        <v>-2.7174999999999998</v>
      </c>
      <c r="AJ260"/>
      <c r="AK260" s="6"/>
      <c r="AM260" s="1">
        <v>258.524</v>
      </c>
      <c r="AN260" s="1">
        <v>-3.0794999999999999</v>
      </c>
    </row>
    <row r="261" spans="2:40" x14ac:dyDescent="0.2">
      <c r="B261" s="1">
        <v>259.20699999999999</v>
      </c>
      <c r="C261" s="1">
        <v>5.4320000000000004</v>
      </c>
      <c r="E261" s="1">
        <v>259.142</v>
      </c>
      <c r="F261" s="1">
        <v>-0.84899999999999998</v>
      </c>
      <c r="H261" s="1">
        <v>259.16000000000003</v>
      </c>
      <c r="I261" s="1">
        <v>-1.5605</v>
      </c>
      <c r="J261" s="6"/>
      <c r="K261" s="1">
        <v>259.11</v>
      </c>
      <c r="L261" s="1">
        <v>8.5999999999999993E-2</v>
      </c>
      <c r="N261" s="1">
        <v>259.19499999999999</v>
      </c>
      <c r="O261" s="1">
        <v>-0.29099999999999998</v>
      </c>
      <c r="Q261" s="1">
        <v>259.06599999999997</v>
      </c>
      <c r="R261" s="1">
        <v>-0.41299999999999998</v>
      </c>
      <c r="S261" s="6"/>
      <c r="T261" s="1">
        <v>259.07400000000001</v>
      </c>
      <c r="U261" s="1">
        <v>-1.6335</v>
      </c>
      <c r="W261" s="1">
        <v>259.08</v>
      </c>
      <c r="X261" s="1">
        <v>-1.6675</v>
      </c>
      <c r="Z261" s="1">
        <v>259.04899999999998</v>
      </c>
      <c r="AA261" s="1">
        <v>-1.595</v>
      </c>
      <c r="AB261" s="6"/>
      <c r="AC261" s="1">
        <v>259.08100000000002</v>
      </c>
      <c r="AD261" s="1">
        <v>-2.8479999999999999</v>
      </c>
      <c r="AF261" s="1">
        <v>259.14400000000001</v>
      </c>
      <c r="AG261" s="1">
        <v>-2.7225000000000001</v>
      </c>
      <c r="AJ261"/>
      <c r="AK261" s="6"/>
      <c r="AM261" s="1">
        <v>259.53100000000001</v>
      </c>
      <c r="AN261" s="1">
        <v>-3.1669999999999998</v>
      </c>
    </row>
    <row r="262" spans="2:40" x14ac:dyDescent="0.2">
      <c r="B262" s="1">
        <v>260.20999999999998</v>
      </c>
      <c r="C262" s="1">
        <v>5.3775000000000004</v>
      </c>
      <c r="E262" s="1">
        <v>260.14600000000002</v>
      </c>
      <c r="F262" s="1">
        <v>-0.91749999999999998</v>
      </c>
      <c r="H262" s="1">
        <v>260.16500000000002</v>
      </c>
      <c r="I262" s="1">
        <v>-1.6385000000000001</v>
      </c>
      <c r="J262" s="6"/>
      <c r="K262" s="1">
        <v>260.11500000000001</v>
      </c>
      <c r="L262" s="1">
        <v>2.1499999999999998E-2</v>
      </c>
      <c r="N262" s="1">
        <v>260.19900000000001</v>
      </c>
      <c r="O262" s="1">
        <v>-0.29099999999999998</v>
      </c>
      <c r="Q262" s="1">
        <v>260.07</v>
      </c>
      <c r="R262" s="1">
        <v>-0.41549999999999998</v>
      </c>
      <c r="S262" s="6"/>
      <c r="T262" s="1">
        <v>260.07900000000001</v>
      </c>
      <c r="U262" s="1">
        <v>-1.643</v>
      </c>
      <c r="W262" s="1">
        <v>260.084</v>
      </c>
      <c r="X262" s="1">
        <v>-1.6659999999999999</v>
      </c>
      <c r="Z262" s="1">
        <v>260.05500000000001</v>
      </c>
      <c r="AA262" s="1">
        <v>-1.5980000000000001</v>
      </c>
      <c r="AB262" s="6"/>
      <c r="AC262" s="1">
        <v>260.08699999999999</v>
      </c>
      <c r="AD262" s="1">
        <v>-2.8605</v>
      </c>
      <c r="AF262" s="1">
        <v>260.14999999999998</v>
      </c>
      <c r="AG262" s="1">
        <v>-2.7195</v>
      </c>
      <c r="AJ262"/>
      <c r="AK262" s="6"/>
      <c r="AM262" s="1">
        <v>260.53899999999999</v>
      </c>
      <c r="AN262" s="1">
        <v>-3.242</v>
      </c>
    </row>
    <row r="263" spans="2:40" x14ac:dyDescent="0.2">
      <c r="B263" s="1">
        <v>261.21800000000002</v>
      </c>
      <c r="C263" s="1">
        <v>5.3170000000000002</v>
      </c>
      <c r="E263" s="1">
        <v>261.15199999999999</v>
      </c>
      <c r="F263" s="1">
        <v>-0.99099999999999999</v>
      </c>
      <c r="H263" s="1">
        <v>261.17099999999999</v>
      </c>
      <c r="I263" s="1">
        <v>-1.714</v>
      </c>
      <c r="J263" s="6"/>
      <c r="K263" s="1">
        <v>261.12</v>
      </c>
      <c r="L263" s="1">
        <v>-0.05</v>
      </c>
      <c r="N263" s="1">
        <v>261.20400000000001</v>
      </c>
      <c r="O263" s="1">
        <v>-0.29549999999999998</v>
      </c>
      <c r="Q263" s="1">
        <v>261.07499999999999</v>
      </c>
      <c r="R263" s="1">
        <v>-0.432</v>
      </c>
      <c r="S263" s="6"/>
      <c r="T263" s="1">
        <v>261.08800000000002</v>
      </c>
      <c r="U263" s="1">
        <v>-1.6415</v>
      </c>
      <c r="W263" s="1">
        <v>261.09100000000001</v>
      </c>
      <c r="X263" s="1">
        <v>-1.667</v>
      </c>
      <c r="Z263" s="1">
        <v>261.06200000000001</v>
      </c>
      <c r="AA263" s="1">
        <v>-1.5954999999999999</v>
      </c>
      <c r="AB263" s="6"/>
      <c r="AC263" s="1">
        <v>261.09100000000001</v>
      </c>
      <c r="AD263" s="1">
        <v>-2.859</v>
      </c>
      <c r="AF263" s="1">
        <v>261.15499999999997</v>
      </c>
      <c r="AG263" s="1">
        <v>-2.7229999999999999</v>
      </c>
      <c r="AJ263"/>
      <c r="AK263" s="6"/>
      <c r="AM263" s="1">
        <v>261.54500000000002</v>
      </c>
      <c r="AN263" s="1">
        <v>-3.3294999999999999</v>
      </c>
    </row>
    <row r="264" spans="2:40" x14ac:dyDescent="0.2">
      <c r="B264" s="1">
        <v>262.22500000000002</v>
      </c>
      <c r="C264" s="1">
        <v>5.2560000000000002</v>
      </c>
      <c r="E264" s="1">
        <v>262.16199999999998</v>
      </c>
      <c r="F264" s="1">
        <v>-1.0605</v>
      </c>
      <c r="H264" s="1">
        <v>262.17899999999997</v>
      </c>
      <c r="I264" s="1">
        <v>-1.7929999999999999</v>
      </c>
      <c r="J264" s="6"/>
      <c r="K264" s="1">
        <v>262.12700000000001</v>
      </c>
      <c r="L264" s="1">
        <v>-0.1285</v>
      </c>
      <c r="N264" s="1">
        <v>262.20699999999999</v>
      </c>
      <c r="O264" s="1">
        <v>-0.29049999999999998</v>
      </c>
      <c r="Q264" s="1">
        <v>262.08100000000002</v>
      </c>
      <c r="R264" s="1">
        <v>-0.44350000000000001</v>
      </c>
      <c r="S264" s="6"/>
      <c r="T264" s="1">
        <v>262.09199999999998</v>
      </c>
      <c r="U264" s="1">
        <v>-1.6395</v>
      </c>
      <c r="W264" s="1">
        <v>262.10000000000002</v>
      </c>
      <c r="X264" s="1">
        <v>-1.6679999999999999</v>
      </c>
      <c r="Z264" s="1">
        <v>262.06400000000002</v>
      </c>
      <c r="AA264" s="1">
        <v>-1.595</v>
      </c>
      <c r="AB264" s="6"/>
      <c r="AC264" s="1">
        <v>262.09500000000003</v>
      </c>
      <c r="AD264" s="1">
        <v>-2.8639999999999999</v>
      </c>
      <c r="AF264" s="1">
        <v>262.15899999999999</v>
      </c>
      <c r="AG264" s="1">
        <v>-2.7204999999999999</v>
      </c>
      <c r="AJ264"/>
      <c r="AK264" s="6"/>
      <c r="AM264" s="1">
        <v>262.54899999999998</v>
      </c>
      <c r="AN264" s="1">
        <v>-3.4049999999999998</v>
      </c>
    </row>
    <row r="265" spans="2:40" x14ac:dyDescent="0.2">
      <c r="B265" s="1">
        <v>263.22800000000001</v>
      </c>
      <c r="C265" s="1">
        <v>5.2095000000000002</v>
      </c>
      <c r="E265" s="1">
        <v>263.16800000000001</v>
      </c>
      <c r="F265" s="1">
        <v>-1.137</v>
      </c>
      <c r="H265" s="1">
        <v>263.18400000000003</v>
      </c>
      <c r="I265" s="1">
        <v>-1.8680000000000001</v>
      </c>
      <c r="J265" s="6"/>
      <c r="K265" s="1">
        <v>263.13600000000002</v>
      </c>
      <c r="L265" s="1">
        <v>-0.192</v>
      </c>
      <c r="N265" s="1">
        <v>263.21300000000002</v>
      </c>
      <c r="O265" s="1">
        <v>-0.28249999999999997</v>
      </c>
      <c r="Q265" s="1">
        <v>263.08699999999999</v>
      </c>
      <c r="R265" s="1">
        <v>-0.442</v>
      </c>
      <c r="S265" s="6"/>
      <c r="T265" s="1">
        <v>263.096</v>
      </c>
      <c r="U265" s="1">
        <v>-1.643</v>
      </c>
      <c r="W265" s="1">
        <v>263.10500000000002</v>
      </c>
      <c r="X265" s="1">
        <v>-1.6619999999999999</v>
      </c>
      <c r="Z265" s="1">
        <v>263.06799999999998</v>
      </c>
      <c r="AA265" s="1">
        <v>-1.6020000000000001</v>
      </c>
      <c r="AB265" s="6"/>
      <c r="AC265" s="1">
        <v>263.101</v>
      </c>
      <c r="AD265" s="1">
        <v>-2.86</v>
      </c>
      <c r="AF265" s="1">
        <v>263.16500000000002</v>
      </c>
      <c r="AG265" s="1">
        <v>-2.7130000000000001</v>
      </c>
      <c r="AJ265"/>
      <c r="AK265" s="6"/>
      <c r="AM265" s="1">
        <v>263.55900000000003</v>
      </c>
      <c r="AN265" s="1">
        <v>-3.4714999999999998</v>
      </c>
    </row>
    <row r="266" spans="2:40" x14ac:dyDescent="0.2">
      <c r="B266" s="1">
        <v>264.23399999999998</v>
      </c>
      <c r="C266" s="1">
        <v>5.149</v>
      </c>
      <c r="E266" s="1">
        <v>264.17</v>
      </c>
      <c r="F266" s="1">
        <v>-1.2090000000000001</v>
      </c>
      <c r="H266" s="1">
        <v>264.19</v>
      </c>
      <c r="I266" s="1">
        <v>-1.9335</v>
      </c>
      <c r="J266" s="6"/>
      <c r="K266" s="1">
        <v>264.14100000000002</v>
      </c>
      <c r="L266" s="1">
        <v>-0.27150000000000002</v>
      </c>
      <c r="N266" s="1">
        <v>264.221</v>
      </c>
      <c r="O266" s="1">
        <v>-0.28699999999999998</v>
      </c>
      <c r="Q266" s="1">
        <v>264.09100000000001</v>
      </c>
      <c r="R266" s="1">
        <v>-0.44650000000000001</v>
      </c>
      <c r="S266" s="6"/>
      <c r="T266" s="1">
        <v>264.10300000000001</v>
      </c>
      <c r="U266" s="1">
        <v>-1.6425000000000001</v>
      </c>
      <c r="W266" s="1">
        <v>264.108</v>
      </c>
      <c r="X266" s="1">
        <v>-1.669</v>
      </c>
      <c r="Z266" s="1">
        <v>264.07299999999998</v>
      </c>
      <c r="AA266" s="1">
        <v>-1.6034999999999999</v>
      </c>
      <c r="AB266" s="6"/>
      <c r="AC266" s="1">
        <v>264.10899999999998</v>
      </c>
      <c r="AD266" s="1">
        <v>-2.86</v>
      </c>
      <c r="AF266" s="1">
        <v>264.17200000000003</v>
      </c>
      <c r="AG266" s="1">
        <v>-2.7050000000000001</v>
      </c>
      <c r="AJ266"/>
      <c r="AK266" s="6"/>
      <c r="AM266" s="1">
        <v>264.56700000000001</v>
      </c>
      <c r="AN266" s="1">
        <v>-3.5489999999999999</v>
      </c>
    </row>
    <row r="267" spans="2:40" x14ac:dyDescent="0.2">
      <c r="B267" s="1">
        <v>265.24</v>
      </c>
      <c r="C267" s="1">
        <v>5.0994999999999999</v>
      </c>
      <c r="E267" s="1">
        <v>265.17599999999999</v>
      </c>
      <c r="F267" s="1">
        <v>-1.28</v>
      </c>
      <c r="H267" s="1">
        <v>265.19499999999999</v>
      </c>
      <c r="I267" s="1">
        <v>-2.0055000000000001</v>
      </c>
      <c r="J267" s="6"/>
      <c r="K267" s="1">
        <v>265.14499999999998</v>
      </c>
      <c r="L267" s="1">
        <v>-0.33300000000000002</v>
      </c>
      <c r="N267" s="1">
        <v>265.22800000000001</v>
      </c>
      <c r="O267" s="1">
        <v>-0.28399999999999997</v>
      </c>
      <c r="Q267" s="1">
        <v>265.09399999999999</v>
      </c>
      <c r="R267" s="1">
        <v>-0.46050000000000002</v>
      </c>
      <c r="S267" s="6"/>
      <c r="T267" s="1">
        <v>265.10700000000003</v>
      </c>
      <c r="U267" s="1">
        <v>-1.6455</v>
      </c>
      <c r="W267" s="1">
        <v>265.113</v>
      </c>
      <c r="X267" s="1">
        <v>-1.675</v>
      </c>
      <c r="Z267" s="1">
        <v>265.08100000000002</v>
      </c>
      <c r="AA267" s="1">
        <v>-1.6034999999999999</v>
      </c>
      <c r="AB267" s="6"/>
      <c r="AC267" s="1">
        <v>265.11500000000001</v>
      </c>
      <c r="AD267" s="1">
        <v>-2.8605</v>
      </c>
      <c r="AF267" s="1">
        <v>265.18</v>
      </c>
      <c r="AG267" s="1">
        <v>-2.7130000000000001</v>
      </c>
      <c r="AJ267"/>
      <c r="AK267" s="6"/>
      <c r="AM267" s="1">
        <v>265.57299999999998</v>
      </c>
      <c r="AN267" s="1">
        <v>-3.621</v>
      </c>
    </row>
    <row r="268" spans="2:40" x14ac:dyDescent="0.2">
      <c r="B268" s="1">
        <v>266.24700000000001</v>
      </c>
      <c r="C268" s="1">
        <v>5.0449999999999999</v>
      </c>
      <c r="E268" s="1">
        <v>266.18099999999998</v>
      </c>
      <c r="F268" s="1">
        <v>-1.3534999999999999</v>
      </c>
      <c r="H268" s="1">
        <v>266.2</v>
      </c>
      <c r="I268" s="1">
        <v>-2.0760000000000001</v>
      </c>
      <c r="J268" s="6"/>
      <c r="K268" s="1">
        <v>266.15100000000001</v>
      </c>
      <c r="L268" s="1">
        <v>-0.40649999999999997</v>
      </c>
      <c r="N268" s="1">
        <v>266.23399999999998</v>
      </c>
      <c r="O268" s="1">
        <v>-0.28050000000000003</v>
      </c>
      <c r="Q268" s="1">
        <v>266.09699999999998</v>
      </c>
      <c r="R268" s="1">
        <v>-0.45600000000000002</v>
      </c>
      <c r="S268" s="6"/>
      <c r="T268" s="1">
        <v>266.11200000000002</v>
      </c>
      <c r="U268" s="1">
        <v>-1.6505000000000001</v>
      </c>
      <c r="W268" s="1">
        <v>266.12099999999998</v>
      </c>
      <c r="X268" s="1">
        <v>-1.677</v>
      </c>
      <c r="Z268" s="1">
        <v>266.08999999999997</v>
      </c>
      <c r="AA268" s="1">
        <v>-1.607</v>
      </c>
      <c r="AB268" s="6"/>
      <c r="AC268" s="1">
        <v>266.12</v>
      </c>
      <c r="AD268" s="1">
        <v>-2.8574999999999999</v>
      </c>
      <c r="AF268" s="1">
        <v>266.18900000000002</v>
      </c>
      <c r="AG268" s="1">
        <v>-2.7080000000000002</v>
      </c>
      <c r="AJ268"/>
      <c r="AK268" s="6"/>
      <c r="AM268" s="1">
        <v>266.584</v>
      </c>
      <c r="AN268" s="1">
        <v>-3.7</v>
      </c>
    </row>
    <row r="269" spans="2:40" x14ac:dyDescent="0.2">
      <c r="B269" s="1">
        <v>267.255</v>
      </c>
      <c r="C269" s="1">
        <v>4.9809999999999999</v>
      </c>
      <c r="E269" s="1">
        <v>267.18700000000001</v>
      </c>
      <c r="F269" s="1">
        <v>-1.4235</v>
      </c>
      <c r="H269" s="1">
        <v>267.20699999999999</v>
      </c>
      <c r="I269" s="1">
        <v>-2.1575000000000002</v>
      </c>
      <c r="J269" s="6"/>
      <c r="K269" s="1">
        <v>267.15499999999997</v>
      </c>
      <c r="L269" s="1">
        <v>-0.47349999999999998</v>
      </c>
      <c r="N269" s="1">
        <v>267.24299999999999</v>
      </c>
      <c r="O269" s="1">
        <v>-0.28849999999999998</v>
      </c>
      <c r="Q269" s="1">
        <v>267.10500000000002</v>
      </c>
      <c r="R269" s="1">
        <v>-0.47</v>
      </c>
      <c r="S269" s="6"/>
      <c r="T269" s="1">
        <v>267.11799999999999</v>
      </c>
      <c r="U269" s="1">
        <v>-1.653</v>
      </c>
      <c r="W269" s="1">
        <v>267.125</v>
      </c>
      <c r="X269" s="1">
        <v>-1.6775</v>
      </c>
      <c r="Z269" s="1">
        <v>267.09800000000001</v>
      </c>
      <c r="AA269" s="1">
        <v>-1.6060000000000001</v>
      </c>
      <c r="AB269" s="6"/>
      <c r="AC269" s="1">
        <v>267.12400000000002</v>
      </c>
      <c r="AD269" s="1">
        <v>-2.85</v>
      </c>
      <c r="AF269" s="1">
        <v>267.19600000000003</v>
      </c>
      <c r="AG269" s="1">
        <v>-2.71</v>
      </c>
      <c r="AJ269"/>
      <c r="AK269" s="6"/>
      <c r="AM269" s="1">
        <v>267.59100000000001</v>
      </c>
      <c r="AN269" s="1">
        <v>-3.7690000000000001</v>
      </c>
    </row>
    <row r="270" spans="2:40" x14ac:dyDescent="0.2">
      <c r="B270" s="1">
        <v>268.26</v>
      </c>
      <c r="C270" s="1">
        <v>4.9295</v>
      </c>
      <c r="E270" s="1">
        <v>268.19200000000001</v>
      </c>
      <c r="F270" s="1">
        <v>-1.5065</v>
      </c>
      <c r="H270" s="1">
        <v>268.21300000000002</v>
      </c>
      <c r="I270" s="1">
        <v>-2.2395</v>
      </c>
      <c r="J270" s="6"/>
      <c r="K270" s="1">
        <v>268.16000000000003</v>
      </c>
      <c r="L270" s="1">
        <v>-0.54300000000000004</v>
      </c>
      <c r="N270" s="1">
        <v>268.25099999999998</v>
      </c>
      <c r="O270" s="1">
        <v>-0.28599999999999998</v>
      </c>
      <c r="Q270" s="1">
        <v>268.11</v>
      </c>
      <c r="R270" s="1">
        <v>-0.46750000000000003</v>
      </c>
      <c r="S270" s="6"/>
      <c r="T270" s="1">
        <v>268.12599999999998</v>
      </c>
      <c r="U270" s="1">
        <v>-1.649</v>
      </c>
      <c r="W270" s="1">
        <v>268.13099999999997</v>
      </c>
      <c r="X270" s="1">
        <v>-1.6835</v>
      </c>
      <c r="Z270" s="1">
        <v>268.10399999999998</v>
      </c>
      <c r="AA270" s="1">
        <v>-1.6120000000000001</v>
      </c>
      <c r="AB270" s="6"/>
      <c r="AC270" s="1">
        <v>268.12900000000002</v>
      </c>
      <c r="AD270" s="1">
        <v>-2.8479999999999999</v>
      </c>
      <c r="AF270" s="1">
        <v>268.20100000000002</v>
      </c>
      <c r="AG270" s="1">
        <v>-2.7115</v>
      </c>
      <c r="AJ270"/>
      <c r="AK270" s="6"/>
      <c r="AM270" s="1">
        <v>268.596</v>
      </c>
      <c r="AN270" s="1">
        <v>-3.84</v>
      </c>
    </row>
    <row r="271" spans="2:40" x14ac:dyDescent="0.2">
      <c r="B271" s="1">
        <v>269.26600000000002</v>
      </c>
      <c r="C271" s="1">
        <v>4.8739999999999997</v>
      </c>
      <c r="E271" s="1">
        <v>269.197</v>
      </c>
      <c r="F271" s="1">
        <v>-1.5825</v>
      </c>
      <c r="H271" s="1">
        <v>269.21800000000002</v>
      </c>
      <c r="I271" s="1">
        <v>-2.3075000000000001</v>
      </c>
      <c r="J271" s="6"/>
      <c r="K271" s="1">
        <v>269.16800000000001</v>
      </c>
      <c r="L271" s="1">
        <v>-0.61150000000000004</v>
      </c>
      <c r="N271" s="1">
        <v>269.25700000000001</v>
      </c>
      <c r="O271" s="1">
        <v>-0.29499999999999998</v>
      </c>
      <c r="Q271" s="1">
        <v>269.11399999999998</v>
      </c>
      <c r="R271" s="1">
        <v>-0.46400000000000002</v>
      </c>
      <c r="S271" s="6"/>
      <c r="T271" s="1">
        <v>269.23099999999999</v>
      </c>
      <c r="U271" s="1">
        <v>-1.6539999999999999</v>
      </c>
      <c r="W271" s="1">
        <v>269.14</v>
      </c>
      <c r="X271" s="1">
        <v>-1.6875</v>
      </c>
      <c r="Z271" s="1">
        <v>269.11200000000002</v>
      </c>
      <c r="AA271" s="1">
        <v>-1.6060000000000001</v>
      </c>
      <c r="AB271" s="6"/>
      <c r="AC271" s="1">
        <v>269.13400000000001</v>
      </c>
      <c r="AD271" s="1">
        <v>-2.8460000000000001</v>
      </c>
      <c r="AJ271"/>
      <c r="AK271" s="6"/>
      <c r="AM271" s="1">
        <v>269.60300000000001</v>
      </c>
      <c r="AN271" s="1">
        <v>-3.9104999999999999</v>
      </c>
    </row>
    <row r="272" spans="2:40" x14ac:dyDescent="0.2">
      <c r="B272" s="1">
        <v>270.27</v>
      </c>
      <c r="C272" s="1">
        <v>4.8194999999999997</v>
      </c>
      <c r="E272" s="1">
        <v>270.20400000000001</v>
      </c>
      <c r="F272" s="1">
        <v>-1.655</v>
      </c>
      <c r="H272" s="1">
        <v>270.22699999999998</v>
      </c>
      <c r="I272" s="1">
        <v>-2.3805000000000001</v>
      </c>
      <c r="J272" s="6"/>
      <c r="K272" s="1">
        <v>270.17399999999998</v>
      </c>
      <c r="L272" s="1">
        <v>-0.67900000000000005</v>
      </c>
      <c r="N272" s="1">
        <v>270.26299999999998</v>
      </c>
      <c r="O272" s="1">
        <v>-0.30299999999999999</v>
      </c>
      <c r="Q272" s="1">
        <v>270.12200000000001</v>
      </c>
      <c r="R272" s="1">
        <v>-0.47299999999999998</v>
      </c>
      <c r="S272" s="6"/>
      <c r="T272" s="1">
        <v>270.23700000000002</v>
      </c>
      <c r="U272" s="1">
        <v>-1.6575</v>
      </c>
      <c r="W272" s="1">
        <v>270.14499999999998</v>
      </c>
      <c r="X272" s="1">
        <v>-1.6859999999999999</v>
      </c>
      <c r="Z272" s="1">
        <v>270.11900000000003</v>
      </c>
      <c r="AA272" s="1">
        <v>-1.6074999999999999</v>
      </c>
      <c r="AB272" s="6"/>
      <c r="AC272" s="1">
        <v>270.14</v>
      </c>
      <c r="AD272" s="1">
        <v>-2.8374999999999999</v>
      </c>
      <c r="AJ272"/>
      <c r="AK272" s="6"/>
      <c r="AM272" s="1">
        <v>270.61</v>
      </c>
      <c r="AN272" s="1">
        <v>-3.9744999999999999</v>
      </c>
    </row>
    <row r="273" spans="2:40" x14ac:dyDescent="0.2">
      <c r="B273" s="1">
        <v>271.27600000000001</v>
      </c>
      <c r="C273" s="1">
        <v>4.7725</v>
      </c>
      <c r="E273" s="1">
        <v>271.209</v>
      </c>
      <c r="F273" s="1">
        <v>-1.7330000000000001</v>
      </c>
      <c r="H273" s="1">
        <v>271.23399999999998</v>
      </c>
      <c r="I273" s="1">
        <v>-2.4500000000000002</v>
      </c>
      <c r="J273" s="6"/>
      <c r="K273" s="1">
        <v>271.18200000000002</v>
      </c>
      <c r="L273" s="1">
        <v>-0.74350000000000005</v>
      </c>
      <c r="N273" s="1">
        <v>271.26900000000001</v>
      </c>
      <c r="O273" s="1">
        <v>-0.3075</v>
      </c>
      <c r="Q273" s="1">
        <v>271.12900000000002</v>
      </c>
      <c r="R273" s="1">
        <v>-0.47649999999999998</v>
      </c>
      <c r="S273" s="6"/>
      <c r="T273" s="1">
        <v>271.24200000000002</v>
      </c>
      <c r="U273" s="1">
        <v>-1.65</v>
      </c>
      <c r="W273" s="1">
        <v>271.14699999999999</v>
      </c>
      <c r="X273" s="1">
        <v>-1.6845000000000001</v>
      </c>
      <c r="Z273" s="1">
        <v>271.12700000000001</v>
      </c>
      <c r="AA273" s="1">
        <v>-1.6185</v>
      </c>
      <c r="AB273" s="6"/>
      <c r="AC273" s="1">
        <v>271.14400000000001</v>
      </c>
      <c r="AD273" s="1">
        <v>-2.8365</v>
      </c>
      <c r="AJ273"/>
      <c r="AK273" s="6"/>
      <c r="AM273" s="1">
        <v>271.61700000000002</v>
      </c>
      <c r="AN273" s="1">
        <v>-4.0425000000000004</v>
      </c>
    </row>
    <row r="274" spans="2:40" x14ac:dyDescent="0.2">
      <c r="B274" s="1">
        <v>272.28199999999998</v>
      </c>
      <c r="C274" s="1">
        <v>4.7184999999999997</v>
      </c>
      <c r="E274" s="1">
        <v>272.214</v>
      </c>
      <c r="F274" s="1">
        <v>-1.8185</v>
      </c>
      <c r="H274" s="1">
        <v>272.24099999999999</v>
      </c>
      <c r="I274" s="1">
        <v>-2.5074999999999998</v>
      </c>
      <c r="J274" s="6"/>
      <c r="K274" s="1">
        <v>272.18700000000001</v>
      </c>
      <c r="L274" s="1">
        <v>-0.78700000000000003</v>
      </c>
      <c r="N274" s="1">
        <v>272.27499999999998</v>
      </c>
      <c r="O274" s="1">
        <v>-0.32400000000000001</v>
      </c>
      <c r="Q274" s="1">
        <v>272.13400000000001</v>
      </c>
      <c r="R274" s="1">
        <v>-0.47</v>
      </c>
      <c r="S274" s="6"/>
      <c r="T274" s="1">
        <v>272.24900000000002</v>
      </c>
      <c r="U274" s="1">
        <v>-1.653</v>
      </c>
      <c r="W274" s="1">
        <v>272.154</v>
      </c>
      <c r="X274" s="1">
        <v>-1.6930000000000001</v>
      </c>
      <c r="Z274" s="1">
        <v>272.13299999999998</v>
      </c>
      <c r="AA274" s="1">
        <v>-1.613</v>
      </c>
      <c r="AB274" s="6"/>
      <c r="AC274" s="1">
        <v>272.149</v>
      </c>
      <c r="AD274" s="1">
        <v>-2.8325</v>
      </c>
      <c r="AJ274"/>
      <c r="AK274" s="6"/>
      <c r="AM274" s="1">
        <v>272.625</v>
      </c>
      <c r="AN274" s="1">
        <v>-4.1159999999999997</v>
      </c>
    </row>
    <row r="275" spans="2:40" x14ac:dyDescent="0.2">
      <c r="B275" s="1">
        <v>273.286</v>
      </c>
      <c r="C275" s="1">
        <v>4.6574999999999998</v>
      </c>
      <c r="E275" s="1">
        <v>273.21800000000002</v>
      </c>
      <c r="F275" s="1">
        <v>-1.8805000000000001</v>
      </c>
      <c r="H275" s="1">
        <v>273.245</v>
      </c>
      <c r="I275" s="1">
        <v>-2.5924999999999998</v>
      </c>
      <c r="J275" s="6"/>
      <c r="K275" s="1">
        <v>273.19600000000003</v>
      </c>
      <c r="L275" s="1">
        <v>-0.79800000000000004</v>
      </c>
      <c r="N275" s="1">
        <v>273.29399999999998</v>
      </c>
      <c r="O275" s="1">
        <v>-0.34</v>
      </c>
      <c r="Q275" s="1">
        <v>273.13799999999998</v>
      </c>
      <c r="R275" s="1">
        <v>-0.47399999999999998</v>
      </c>
      <c r="S275" s="6"/>
      <c r="T275" s="1">
        <v>273.25799999999998</v>
      </c>
      <c r="U275" s="1">
        <v>-1.6535</v>
      </c>
      <c r="W275" s="1">
        <v>273.161</v>
      </c>
      <c r="X275" s="1">
        <v>-1.6919999999999999</v>
      </c>
      <c r="Z275" s="1">
        <v>273.13900000000001</v>
      </c>
      <c r="AA275" s="1">
        <v>-1.619</v>
      </c>
      <c r="AB275" s="6"/>
      <c r="AC275" s="1">
        <v>273.15499999999997</v>
      </c>
      <c r="AD275" s="1">
        <v>-2.8344999999999998</v>
      </c>
      <c r="AJ275"/>
      <c r="AK275" s="6"/>
      <c r="AM275" s="1">
        <v>273.62799999999999</v>
      </c>
      <c r="AN275" s="1">
        <v>-4.1764999999999999</v>
      </c>
    </row>
    <row r="276" spans="2:40" x14ac:dyDescent="0.2">
      <c r="B276" s="1">
        <v>274.29500000000002</v>
      </c>
      <c r="C276" s="1">
        <v>4.601</v>
      </c>
      <c r="E276" s="1">
        <v>274.22199999999998</v>
      </c>
      <c r="F276" s="1">
        <v>-1.958</v>
      </c>
      <c r="H276" s="1">
        <v>274.25099999999998</v>
      </c>
      <c r="I276" s="1">
        <v>-2.6555</v>
      </c>
      <c r="J276" s="6"/>
      <c r="K276" s="1">
        <v>274.20299999999997</v>
      </c>
      <c r="L276" s="1">
        <v>-0.72899999999999998</v>
      </c>
      <c r="N276" s="1">
        <v>274.29899999999998</v>
      </c>
      <c r="O276" s="1">
        <v>-0.34350000000000003</v>
      </c>
      <c r="Q276" s="1">
        <v>274.14499999999998</v>
      </c>
      <c r="R276" s="1">
        <v>-0.47849999999999998</v>
      </c>
      <c r="S276" s="6"/>
      <c r="T276" s="1">
        <v>274.26299999999998</v>
      </c>
      <c r="U276" s="1">
        <v>-1.6679999999999999</v>
      </c>
      <c r="W276" s="1">
        <v>274.16800000000001</v>
      </c>
      <c r="X276" s="1">
        <v>-1.6924999999999999</v>
      </c>
      <c r="Z276" s="1">
        <v>274.14400000000001</v>
      </c>
      <c r="AA276" s="1">
        <v>-1.6180000000000001</v>
      </c>
      <c r="AB276" s="6"/>
      <c r="AC276" s="1">
        <v>274.16300000000001</v>
      </c>
      <c r="AD276" s="1">
        <v>-2.835</v>
      </c>
      <c r="AJ276"/>
      <c r="AK276" s="6"/>
      <c r="AM276" s="1">
        <v>274.63400000000001</v>
      </c>
      <c r="AN276" s="1">
        <v>-4.2309999999999999</v>
      </c>
    </row>
    <row r="277" spans="2:40" x14ac:dyDescent="0.2">
      <c r="B277" s="1">
        <v>275.30399999999997</v>
      </c>
      <c r="C277" s="1">
        <v>4.5465</v>
      </c>
      <c r="E277" s="1">
        <v>275.22500000000002</v>
      </c>
      <c r="F277" s="1">
        <v>-2.0385</v>
      </c>
      <c r="H277" s="1">
        <v>275.25799999999998</v>
      </c>
      <c r="I277" s="1">
        <v>-2.7360000000000002</v>
      </c>
      <c r="J277" s="6"/>
      <c r="K277" s="1">
        <v>275.20999999999998</v>
      </c>
      <c r="L277" s="1">
        <v>-0.62050000000000005</v>
      </c>
      <c r="N277" s="1">
        <v>275.30399999999997</v>
      </c>
      <c r="O277" s="1">
        <v>-0.35099999999999998</v>
      </c>
      <c r="R277"/>
      <c r="S277" s="6"/>
      <c r="T277" s="1">
        <v>275.267</v>
      </c>
      <c r="U277" s="1">
        <v>-1.6715</v>
      </c>
      <c r="W277" s="1">
        <v>275.173</v>
      </c>
      <c r="X277" s="1">
        <v>-1.696</v>
      </c>
      <c r="Z277" s="1">
        <v>275.15100000000001</v>
      </c>
      <c r="AA277" s="1">
        <v>-1.6245000000000001</v>
      </c>
      <c r="AB277" s="6"/>
      <c r="AC277" s="1">
        <v>275.173</v>
      </c>
      <c r="AD277" s="1">
        <v>-2.8374999999999999</v>
      </c>
      <c r="AJ277"/>
      <c r="AK277" s="6"/>
      <c r="AM277" s="1">
        <v>275.64</v>
      </c>
      <c r="AN277" s="1">
        <v>-4.2824999999999998</v>
      </c>
    </row>
    <row r="278" spans="2:40" x14ac:dyDescent="0.2">
      <c r="B278" s="1">
        <v>276.31099999999998</v>
      </c>
      <c r="C278" s="1">
        <v>4.4954999999999998</v>
      </c>
      <c r="E278" s="1">
        <v>276.22699999999998</v>
      </c>
      <c r="F278" s="1">
        <v>-2.1114999999999999</v>
      </c>
      <c r="H278" s="1">
        <v>276.26400000000001</v>
      </c>
      <c r="I278" s="1">
        <v>-2.8079999999999998</v>
      </c>
      <c r="J278" s="6"/>
      <c r="K278" s="1">
        <v>276.214</v>
      </c>
      <c r="L278" s="1">
        <v>-0.50149999999999995</v>
      </c>
      <c r="N278" s="1">
        <v>276.31099999999998</v>
      </c>
      <c r="O278" s="1">
        <v>-0.34250000000000003</v>
      </c>
      <c r="R278"/>
      <c r="S278" s="6"/>
      <c r="T278" s="1">
        <v>276.27300000000002</v>
      </c>
      <c r="U278" s="1">
        <v>-1.6735</v>
      </c>
      <c r="W278" s="1">
        <v>276.178</v>
      </c>
      <c r="X278" s="1">
        <v>-1.6990000000000001</v>
      </c>
      <c r="Z278" s="1">
        <v>276.15899999999999</v>
      </c>
      <c r="AA278" s="1">
        <v>-1.6220000000000001</v>
      </c>
      <c r="AB278" s="6"/>
      <c r="AJ278"/>
      <c r="AK278" s="6"/>
      <c r="AM278" s="1">
        <v>276.64499999999998</v>
      </c>
      <c r="AN278" s="1">
        <v>-4.3334999999999999</v>
      </c>
    </row>
    <row r="279" spans="2:40" x14ac:dyDescent="0.2">
      <c r="B279" s="1">
        <v>277.31700000000001</v>
      </c>
      <c r="C279" s="1">
        <v>4.4375</v>
      </c>
      <c r="E279" s="1">
        <v>277.233</v>
      </c>
      <c r="F279" s="1">
        <v>-2.1884999999999999</v>
      </c>
      <c r="H279" s="1">
        <v>277.26900000000001</v>
      </c>
      <c r="I279" s="1">
        <v>-2.8784999999999998</v>
      </c>
      <c r="J279" s="6"/>
      <c r="K279" s="1">
        <v>277.21699999999998</v>
      </c>
      <c r="L279" s="1">
        <v>-0.3795</v>
      </c>
      <c r="N279" s="1">
        <v>277.31799999999998</v>
      </c>
      <c r="O279" s="1">
        <v>-0.32850000000000001</v>
      </c>
      <c r="R279"/>
      <c r="S279" s="6"/>
      <c r="T279" s="1">
        <v>277.28100000000001</v>
      </c>
      <c r="U279" s="1">
        <v>-1.677</v>
      </c>
      <c r="W279" s="1">
        <v>277.18400000000003</v>
      </c>
      <c r="X279" s="1">
        <v>-1.6975</v>
      </c>
      <c r="Z279" s="1">
        <v>277.16500000000002</v>
      </c>
      <c r="AA279" s="1">
        <v>-1.6240000000000001</v>
      </c>
      <c r="AB279" s="6"/>
      <c r="AJ279"/>
      <c r="AK279" s="6"/>
      <c r="AM279" s="1">
        <v>277.649</v>
      </c>
      <c r="AN279" s="1">
        <v>-4.38</v>
      </c>
    </row>
    <row r="280" spans="2:40" x14ac:dyDescent="0.2">
      <c r="B280" s="1">
        <v>278.32400000000001</v>
      </c>
      <c r="C280" s="1">
        <v>4.383</v>
      </c>
      <c r="E280" s="1">
        <v>278.24</v>
      </c>
      <c r="F280" s="1">
        <v>-2.262</v>
      </c>
      <c r="H280" s="1">
        <v>278.27300000000002</v>
      </c>
      <c r="I280" s="1">
        <v>-2.9580000000000002</v>
      </c>
      <c r="J280" s="6"/>
      <c r="K280" s="1">
        <v>278.22500000000002</v>
      </c>
      <c r="L280" s="1">
        <v>-0.29699999999999999</v>
      </c>
      <c r="N280" s="1">
        <v>278.32400000000001</v>
      </c>
      <c r="O280" s="1">
        <v>-0.3105</v>
      </c>
      <c r="R280"/>
      <c r="S280" s="6"/>
      <c r="T280" s="1">
        <v>278.291</v>
      </c>
      <c r="U280" s="1">
        <v>-1.6830000000000001</v>
      </c>
      <c r="W280" s="1">
        <v>278.18900000000002</v>
      </c>
      <c r="X280" s="1">
        <v>-1.6935</v>
      </c>
      <c r="Z280" s="1">
        <v>278.17099999999999</v>
      </c>
      <c r="AA280" s="1">
        <v>-1.6319999999999999</v>
      </c>
      <c r="AB280" s="6"/>
      <c r="AJ280"/>
      <c r="AK280" s="6"/>
      <c r="AM280" s="1">
        <v>278.65699999999998</v>
      </c>
      <c r="AN280" s="1">
        <v>-4.4074999999999998</v>
      </c>
    </row>
    <row r="281" spans="2:40" x14ac:dyDescent="0.2">
      <c r="B281" s="1">
        <v>279.33</v>
      </c>
      <c r="C281" s="1">
        <v>4.3390000000000004</v>
      </c>
      <c r="E281" s="1">
        <v>279.24700000000001</v>
      </c>
      <c r="F281" s="1">
        <v>-2.3395000000000001</v>
      </c>
      <c r="H281" s="1">
        <v>279.279</v>
      </c>
      <c r="I281" s="1">
        <v>-3.0425</v>
      </c>
      <c r="J281" s="6"/>
      <c r="K281" s="1">
        <v>279.23099999999999</v>
      </c>
      <c r="L281" s="1">
        <v>-0.22</v>
      </c>
      <c r="N281" s="1">
        <v>279.32799999999997</v>
      </c>
      <c r="O281" s="1">
        <v>-0.30149999999999999</v>
      </c>
      <c r="R281"/>
      <c r="S281" s="6"/>
      <c r="T281" s="1">
        <v>279.298</v>
      </c>
      <c r="U281" s="1">
        <v>-1.6735</v>
      </c>
      <c r="W281" s="1">
        <v>279.19400000000002</v>
      </c>
      <c r="X281" s="1">
        <v>-1.6935</v>
      </c>
      <c r="Z281" s="1">
        <v>279.178</v>
      </c>
      <c r="AA281" s="1">
        <v>-1.6285000000000001</v>
      </c>
      <c r="AB281" s="6"/>
      <c r="AJ281"/>
      <c r="AK281" s="6"/>
      <c r="AM281" s="1">
        <v>279.66199999999998</v>
      </c>
      <c r="AN281" s="1">
        <v>-4.4390000000000001</v>
      </c>
    </row>
    <row r="282" spans="2:40" x14ac:dyDescent="0.2">
      <c r="B282" s="1">
        <v>280.33600000000001</v>
      </c>
      <c r="C282" s="1">
        <v>4.2839999999999998</v>
      </c>
      <c r="E282" s="1">
        <v>280.25099999999998</v>
      </c>
      <c r="F282" s="1">
        <v>-2.4159999999999999</v>
      </c>
      <c r="H282" s="1">
        <v>280.28500000000003</v>
      </c>
      <c r="I282" s="1">
        <v>-3.1105</v>
      </c>
      <c r="J282" s="6"/>
      <c r="K282" s="1">
        <v>280.23700000000002</v>
      </c>
      <c r="L282" s="1">
        <v>-0.1585</v>
      </c>
      <c r="N282" s="1">
        <v>280.33300000000003</v>
      </c>
      <c r="O282" s="1">
        <v>-0.29699999999999999</v>
      </c>
      <c r="R282"/>
      <c r="S282" s="6"/>
      <c r="T282" s="1">
        <v>280.30200000000002</v>
      </c>
      <c r="U282" s="1">
        <v>-1.6839999999999999</v>
      </c>
      <c r="W282" s="1">
        <v>280.19900000000001</v>
      </c>
      <c r="X282" s="1">
        <v>-1.6930000000000001</v>
      </c>
      <c r="Z282" s="1">
        <v>280.18299999999999</v>
      </c>
      <c r="AA282" s="1">
        <v>-1.6359999999999999</v>
      </c>
      <c r="AB282" s="6"/>
      <c r="AJ282"/>
      <c r="AK282" s="6"/>
      <c r="AM282" s="1">
        <v>280.66699999999997</v>
      </c>
      <c r="AN282" s="1">
        <v>-4.4584999999999999</v>
      </c>
    </row>
    <row r="283" spans="2:40" x14ac:dyDescent="0.2">
      <c r="B283" s="1">
        <v>281.34300000000002</v>
      </c>
      <c r="C283" s="1">
        <v>4.2294999999999998</v>
      </c>
      <c r="E283" s="1">
        <v>281.25799999999998</v>
      </c>
      <c r="F283" s="1">
        <v>-2.4914999999999998</v>
      </c>
      <c r="H283" s="1">
        <v>281.28899999999999</v>
      </c>
      <c r="I283" s="1">
        <v>-3.1819999999999999</v>
      </c>
      <c r="J283" s="6"/>
      <c r="K283" s="1">
        <v>281.24200000000002</v>
      </c>
      <c r="L283" s="1">
        <v>-0.1295</v>
      </c>
      <c r="N283" s="1">
        <v>281.33699999999999</v>
      </c>
      <c r="O283" s="1">
        <v>-0.28849999999999998</v>
      </c>
      <c r="R283"/>
      <c r="S283" s="6"/>
      <c r="T283" s="1">
        <v>281.30799999999999</v>
      </c>
      <c r="U283" s="1">
        <v>-1.6835</v>
      </c>
      <c r="W283" s="1">
        <v>281.20800000000003</v>
      </c>
      <c r="X283" s="1">
        <v>-1.694</v>
      </c>
      <c r="Z283" s="1">
        <v>281.18799999999999</v>
      </c>
      <c r="AA283" s="1">
        <v>-1.6345000000000001</v>
      </c>
      <c r="AB283" s="6"/>
      <c r="AJ283"/>
      <c r="AK283" s="6"/>
      <c r="AM283" s="1">
        <v>281.67399999999998</v>
      </c>
      <c r="AN283" s="1">
        <v>-4.4619999999999997</v>
      </c>
    </row>
    <row r="284" spans="2:40" x14ac:dyDescent="0.2">
      <c r="B284" s="1">
        <v>282.351</v>
      </c>
      <c r="C284" s="1">
        <v>4.1760000000000002</v>
      </c>
      <c r="E284" s="1">
        <v>282.26400000000001</v>
      </c>
      <c r="F284" s="1">
        <v>-2.5575000000000001</v>
      </c>
      <c r="H284" s="1">
        <v>282.29399999999998</v>
      </c>
      <c r="I284" s="1">
        <v>-3.2589999999999999</v>
      </c>
      <c r="J284" s="6"/>
      <c r="K284" s="1">
        <v>282.24799999999999</v>
      </c>
      <c r="L284" s="1">
        <v>-0.1085</v>
      </c>
      <c r="N284" s="1">
        <v>282.34300000000002</v>
      </c>
      <c r="O284" s="1">
        <v>-0.29599999999999999</v>
      </c>
      <c r="R284"/>
      <c r="S284" s="6"/>
      <c r="T284" s="1">
        <v>282.31299999999999</v>
      </c>
      <c r="U284" s="1">
        <v>-1.6970000000000001</v>
      </c>
      <c r="W284" s="1">
        <v>282.214</v>
      </c>
      <c r="X284" s="1">
        <v>-1.6935</v>
      </c>
      <c r="Z284" s="1">
        <v>282.19499999999999</v>
      </c>
      <c r="AA284" s="1">
        <v>-1.6419999999999999</v>
      </c>
      <c r="AB284" s="6"/>
      <c r="AJ284"/>
      <c r="AK284" s="6"/>
      <c r="AM284" s="1">
        <v>282.69900000000001</v>
      </c>
      <c r="AN284" s="1">
        <v>-4.4569999999999999</v>
      </c>
    </row>
    <row r="285" spans="2:40" x14ac:dyDescent="0.2">
      <c r="B285" s="1">
        <v>283.35899999999998</v>
      </c>
      <c r="C285" s="1">
        <v>4.13</v>
      </c>
      <c r="E285" s="1">
        <v>283.267</v>
      </c>
      <c r="F285" s="1">
        <v>-2.6349999999999998</v>
      </c>
      <c r="H285" s="1">
        <v>283.30099999999999</v>
      </c>
      <c r="I285" s="1">
        <v>-3.3290000000000002</v>
      </c>
      <c r="J285" s="6"/>
      <c r="K285" s="1">
        <v>283.25400000000002</v>
      </c>
      <c r="L285" s="1">
        <v>-8.2000000000000003E-2</v>
      </c>
      <c r="N285" s="1">
        <v>283.34800000000001</v>
      </c>
      <c r="O285" s="1">
        <v>-0.3</v>
      </c>
      <c r="R285"/>
      <c r="S285" s="6"/>
      <c r="W285" s="1">
        <v>283.22199999999998</v>
      </c>
      <c r="X285" s="1">
        <v>-1.6944999999999999</v>
      </c>
      <c r="Z285" s="1">
        <v>283.20299999999997</v>
      </c>
      <c r="AA285" s="1">
        <v>-1.6479999999999999</v>
      </c>
      <c r="AB285" s="6"/>
      <c r="AJ285"/>
      <c r="AK285" s="6"/>
      <c r="AM285" s="1">
        <v>283.70400000000001</v>
      </c>
      <c r="AN285" s="1">
        <v>-4.4284999999999997</v>
      </c>
    </row>
    <row r="286" spans="2:40" x14ac:dyDescent="0.2">
      <c r="B286" s="1">
        <v>284.36500000000001</v>
      </c>
      <c r="C286" s="1">
        <v>4.0709999999999997</v>
      </c>
      <c r="E286" s="1">
        <v>284.27300000000002</v>
      </c>
      <c r="F286" s="1">
        <v>-2.7044999999999999</v>
      </c>
      <c r="H286" s="1">
        <v>284.30900000000003</v>
      </c>
      <c r="I286" s="1">
        <v>-3.4049999999999998</v>
      </c>
      <c r="J286" s="6"/>
      <c r="K286" s="1">
        <v>284.262</v>
      </c>
      <c r="L286" s="1">
        <v>-0.08</v>
      </c>
      <c r="N286" s="1">
        <v>284.35300000000001</v>
      </c>
      <c r="O286" s="1">
        <v>-0.30099999999999999</v>
      </c>
      <c r="R286"/>
      <c r="S286" s="6"/>
      <c r="W286" s="1">
        <v>284.233</v>
      </c>
      <c r="X286" s="1">
        <v>-1.6950000000000001</v>
      </c>
      <c r="Z286" s="1">
        <v>284.209</v>
      </c>
      <c r="AA286" s="1">
        <v>-1.645</v>
      </c>
      <c r="AB286" s="6"/>
      <c r="AJ286"/>
      <c r="AK286" s="6"/>
      <c r="AM286" s="1">
        <v>284.71199999999999</v>
      </c>
      <c r="AN286" s="1">
        <v>-4.4039999999999999</v>
      </c>
    </row>
    <row r="287" spans="2:40" x14ac:dyDescent="0.2">
      <c r="B287" s="1">
        <v>285.37</v>
      </c>
      <c r="C287" s="1">
        <v>4.0209999999999999</v>
      </c>
      <c r="E287" s="1">
        <v>285.28199999999998</v>
      </c>
      <c r="F287" s="1">
        <v>-2.7885</v>
      </c>
      <c r="H287" s="1">
        <v>285.31700000000001</v>
      </c>
      <c r="I287" s="1">
        <v>-3.4805000000000001</v>
      </c>
      <c r="J287" s="6"/>
      <c r="K287" s="1">
        <v>285.267</v>
      </c>
      <c r="L287" s="1">
        <v>-8.2000000000000003E-2</v>
      </c>
      <c r="N287" s="1">
        <v>285.35899999999998</v>
      </c>
      <c r="O287" s="1">
        <v>-0.3</v>
      </c>
      <c r="R287"/>
      <c r="S287" s="6"/>
      <c r="W287" s="1">
        <v>285.238</v>
      </c>
      <c r="X287" s="1">
        <v>-1.6990000000000001</v>
      </c>
      <c r="Z287" s="1">
        <v>285.214</v>
      </c>
      <c r="AA287" s="1">
        <v>-1.6455</v>
      </c>
      <c r="AB287" s="6"/>
      <c r="AJ287"/>
      <c r="AK287" s="6"/>
      <c r="AM287" s="1">
        <v>285.72199999999998</v>
      </c>
      <c r="AN287" s="1">
        <v>-4.3630000000000004</v>
      </c>
    </row>
    <row r="288" spans="2:40" x14ac:dyDescent="0.2">
      <c r="B288" s="1">
        <v>286.37599999999998</v>
      </c>
      <c r="C288" s="1">
        <v>3.9729999999999999</v>
      </c>
      <c r="E288" s="1">
        <v>286.28800000000001</v>
      </c>
      <c r="F288" s="1">
        <v>-2.8584999999999998</v>
      </c>
      <c r="H288" s="1">
        <v>286.322</v>
      </c>
      <c r="I288" s="1">
        <v>-3.55</v>
      </c>
      <c r="J288" s="6"/>
      <c r="K288" s="1">
        <v>286.27300000000002</v>
      </c>
      <c r="L288" s="1">
        <v>-7.1499999999999994E-2</v>
      </c>
      <c r="N288" s="1">
        <v>286.363</v>
      </c>
      <c r="O288" s="1">
        <v>-0.29449999999999998</v>
      </c>
      <c r="R288"/>
      <c r="S288" s="6"/>
      <c r="W288" s="1">
        <v>286.24400000000003</v>
      </c>
      <c r="X288" s="1">
        <v>-1.6970000000000001</v>
      </c>
      <c r="Z288" s="1">
        <v>286.22000000000003</v>
      </c>
      <c r="AA288" s="1">
        <v>-1.6439999999999999</v>
      </c>
      <c r="AB288" s="6"/>
      <c r="AJ288"/>
      <c r="AK288" s="6"/>
      <c r="AM288" s="1">
        <v>286.73099999999999</v>
      </c>
      <c r="AN288" s="1">
        <v>-4.3254999999999999</v>
      </c>
    </row>
    <row r="289" spans="2:40" x14ac:dyDescent="0.2">
      <c r="B289" s="1">
        <v>287.38400000000001</v>
      </c>
      <c r="C289" s="1">
        <v>3.9220000000000002</v>
      </c>
      <c r="E289" s="1">
        <v>287.29399999999998</v>
      </c>
      <c r="F289" s="1">
        <v>-2.9359999999999999</v>
      </c>
      <c r="H289" s="1">
        <v>287.33</v>
      </c>
      <c r="I289" s="1">
        <v>-3.6234999999999999</v>
      </c>
      <c r="J289" s="6"/>
      <c r="K289" s="1">
        <v>287.28100000000001</v>
      </c>
      <c r="L289" s="1">
        <v>-8.0500000000000002E-2</v>
      </c>
      <c r="N289" s="1">
        <v>287.37</v>
      </c>
      <c r="O289" s="1">
        <v>-0.28249999999999997</v>
      </c>
      <c r="R289"/>
      <c r="S289" s="6"/>
      <c r="W289" s="1">
        <v>287.24900000000002</v>
      </c>
      <c r="X289" s="1">
        <v>-1.7</v>
      </c>
      <c r="Z289" s="1">
        <v>287.22699999999998</v>
      </c>
      <c r="AA289" s="1">
        <v>-1.635</v>
      </c>
      <c r="AB289" s="6"/>
      <c r="AJ289"/>
      <c r="AK289" s="6"/>
      <c r="AM289" s="1">
        <v>287.738</v>
      </c>
      <c r="AN289" s="1">
        <v>-4.2779999999999996</v>
      </c>
    </row>
    <row r="290" spans="2:40" x14ac:dyDescent="0.2">
      <c r="B290" s="1">
        <v>288.38799999999998</v>
      </c>
      <c r="C290" s="1">
        <v>3.8664999999999998</v>
      </c>
      <c r="E290" s="1">
        <v>288.29899999999998</v>
      </c>
      <c r="F290" s="1">
        <v>-3.0110000000000001</v>
      </c>
      <c r="H290" s="1">
        <v>288.334</v>
      </c>
      <c r="I290" s="1">
        <v>-3.694</v>
      </c>
      <c r="J290" s="6"/>
      <c r="K290" s="1">
        <v>288.28500000000003</v>
      </c>
      <c r="L290" s="1">
        <v>-8.7999999999999995E-2</v>
      </c>
      <c r="N290" s="1">
        <v>288.37799999999999</v>
      </c>
      <c r="O290" s="1">
        <v>-0.27050000000000002</v>
      </c>
      <c r="R290"/>
      <c r="S290" s="6"/>
      <c r="W290" s="1">
        <v>288.25700000000001</v>
      </c>
      <c r="X290" s="1">
        <v>-1.696</v>
      </c>
      <c r="AA290"/>
      <c r="AB290" s="6"/>
      <c r="AJ290"/>
      <c r="AK290" s="6"/>
      <c r="AM290" s="1">
        <v>288.74299999999999</v>
      </c>
      <c r="AN290" s="1">
        <v>-4.2370000000000001</v>
      </c>
    </row>
    <row r="291" spans="2:40" x14ac:dyDescent="0.2">
      <c r="B291" s="1">
        <v>289.39100000000002</v>
      </c>
      <c r="C291" s="1">
        <v>3.8079999999999998</v>
      </c>
      <c r="E291" s="1">
        <v>289.30200000000002</v>
      </c>
      <c r="F291" s="1">
        <v>-3.0874999999999999</v>
      </c>
      <c r="H291" s="1">
        <v>289.33999999999997</v>
      </c>
      <c r="I291" s="1">
        <v>-3.7610000000000001</v>
      </c>
      <c r="J291" s="6"/>
      <c r="K291" s="1">
        <v>289.291</v>
      </c>
      <c r="L291" s="1">
        <v>-8.7499999999999994E-2</v>
      </c>
      <c r="N291" s="1">
        <v>289.38299999999998</v>
      </c>
      <c r="O291" s="1">
        <v>-0.2525</v>
      </c>
      <c r="R291"/>
      <c r="S291" s="6"/>
      <c r="W291" s="1">
        <v>289.267</v>
      </c>
      <c r="X291" s="1">
        <v>-1.698</v>
      </c>
      <c r="AA291"/>
      <c r="AB291" s="6"/>
      <c r="AJ291"/>
      <c r="AK291" s="6"/>
      <c r="AM291" s="1">
        <v>289.75599999999997</v>
      </c>
      <c r="AN291" s="1">
        <v>-4.1974999999999998</v>
      </c>
    </row>
    <row r="292" spans="2:40" x14ac:dyDescent="0.2">
      <c r="B292" s="1">
        <v>290.399</v>
      </c>
      <c r="C292" s="1">
        <v>3.7595000000000001</v>
      </c>
      <c r="E292" s="1">
        <v>290.30700000000002</v>
      </c>
      <c r="F292" s="1">
        <v>-3.16</v>
      </c>
      <c r="H292" s="1">
        <v>290.34399999999999</v>
      </c>
      <c r="I292" s="1">
        <v>-3.8384999999999998</v>
      </c>
      <c r="J292" s="6"/>
      <c r="K292" s="1">
        <v>290.29500000000002</v>
      </c>
      <c r="L292" s="1">
        <v>-8.7999999999999995E-2</v>
      </c>
      <c r="N292" s="1">
        <v>290.38799999999998</v>
      </c>
      <c r="O292" s="1">
        <v>-0.23300000000000001</v>
      </c>
      <c r="R292"/>
      <c r="S292" s="6"/>
      <c r="W292" s="1">
        <v>290.27600000000001</v>
      </c>
      <c r="X292" s="1">
        <v>-1.702</v>
      </c>
      <c r="AA292"/>
      <c r="AB292" s="6"/>
      <c r="AJ292"/>
      <c r="AK292" s="6"/>
      <c r="AM292" s="1">
        <v>290.77999999999997</v>
      </c>
      <c r="AN292" s="1">
        <v>-4.1609999999999996</v>
      </c>
    </row>
    <row r="293" spans="2:40" x14ac:dyDescent="0.2">
      <c r="B293" s="1">
        <v>291.40199999999999</v>
      </c>
      <c r="C293" s="1">
        <v>3.7050000000000001</v>
      </c>
      <c r="E293" s="1">
        <v>291.31099999999998</v>
      </c>
      <c r="F293" s="1">
        <v>-3.2349999999999999</v>
      </c>
      <c r="H293" s="1">
        <v>291.34899999999999</v>
      </c>
      <c r="I293" s="1">
        <v>-3.8980000000000001</v>
      </c>
      <c r="J293" s="6"/>
      <c r="K293" s="1">
        <v>291.30099999999999</v>
      </c>
      <c r="L293" s="1">
        <v>-8.7499999999999994E-2</v>
      </c>
      <c r="N293" s="1">
        <v>291.392</v>
      </c>
      <c r="O293" s="1">
        <v>-0.22650000000000001</v>
      </c>
      <c r="R293"/>
      <c r="S293" s="6"/>
      <c r="W293" s="1">
        <v>291.28100000000001</v>
      </c>
      <c r="X293" s="1">
        <v>-1.7004999999999999</v>
      </c>
      <c r="AA293"/>
      <c r="AB293" s="6"/>
      <c r="AJ293"/>
      <c r="AK293" s="6"/>
      <c r="AM293" s="1">
        <v>291.82100000000003</v>
      </c>
      <c r="AN293" s="1">
        <v>-4.141</v>
      </c>
    </row>
    <row r="294" spans="2:40" x14ac:dyDescent="0.2">
      <c r="B294" s="1">
        <v>292.40699999999998</v>
      </c>
      <c r="C294" s="1">
        <v>3.6509999999999998</v>
      </c>
      <c r="E294" s="1">
        <v>292.315</v>
      </c>
      <c r="F294" s="1">
        <v>-3.3029999999999999</v>
      </c>
      <c r="H294" s="1">
        <v>292.35300000000001</v>
      </c>
      <c r="I294" s="1">
        <v>-3.9609999999999999</v>
      </c>
      <c r="J294" s="6"/>
      <c r="K294" s="1">
        <v>292.30599999999998</v>
      </c>
      <c r="L294" s="1">
        <v>-0.10050000000000001</v>
      </c>
      <c r="N294" s="1">
        <v>292.39999999999998</v>
      </c>
      <c r="O294" s="1">
        <v>-0.20899999999999999</v>
      </c>
      <c r="R294"/>
      <c r="S294" s="6"/>
      <c r="W294" s="1">
        <v>292.28699999999998</v>
      </c>
      <c r="X294" s="1">
        <v>-1.7075</v>
      </c>
      <c r="AA294"/>
      <c r="AB294" s="6"/>
      <c r="AJ294"/>
      <c r="AK294" s="6"/>
      <c r="AM294" s="1">
        <v>292.93099999999998</v>
      </c>
      <c r="AN294" s="1">
        <v>-4.1040000000000001</v>
      </c>
    </row>
    <row r="295" spans="2:40" x14ac:dyDescent="0.2">
      <c r="B295" s="1">
        <v>293.41399999999999</v>
      </c>
      <c r="C295" s="1">
        <v>3.6030000000000002</v>
      </c>
      <c r="E295" s="1">
        <v>293.322</v>
      </c>
      <c r="F295" s="1">
        <v>-3.379</v>
      </c>
      <c r="H295" s="1">
        <v>293.358</v>
      </c>
      <c r="I295" s="1">
        <v>-4.0149999999999997</v>
      </c>
      <c r="J295" s="6"/>
      <c r="K295" s="1">
        <v>293.31099999999998</v>
      </c>
      <c r="L295" s="1">
        <v>-0.1205</v>
      </c>
      <c r="N295" s="1">
        <v>293.40600000000001</v>
      </c>
      <c r="O295" s="1">
        <v>-0.21</v>
      </c>
      <c r="R295"/>
      <c r="S295" s="6"/>
      <c r="W295" s="1">
        <v>293.29199999999997</v>
      </c>
      <c r="X295" s="1">
        <v>-1.7155</v>
      </c>
      <c r="AA295"/>
      <c r="AB295" s="6"/>
      <c r="AJ295"/>
      <c r="AK295" s="6"/>
      <c r="AM295" s="1">
        <v>293.93799999999999</v>
      </c>
      <c r="AN295" s="1">
        <v>-4.0925000000000002</v>
      </c>
    </row>
    <row r="296" spans="2:40" x14ac:dyDescent="0.2">
      <c r="B296" s="1">
        <v>294.42200000000003</v>
      </c>
      <c r="C296" s="1">
        <v>3.5409999999999999</v>
      </c>
      <c r="E296" s="1">
        <v>294.32799999999997</v>
      </c>
      <c r="F296" s="1">
        <v>-3.4609999999999999</v>
      </c>
      <c r="H296" s="1">
        <v>294.36599999999999</v>
      </c>
      <c r="I296" s="1">
        <v>-4.0845000000000002</v>
      </c>
      <c r="J296" s="6"/>
      <c r="K296" s="1">
        <v>294.32</v>
      </c>
      <c r="L296" s="1">
        <v>-0.13450000000000001</v>
      </c>
      <c r="N296" s="1">
        <v>294.41300000000001</v>
      </c>
      <c r="O296" s="1">
        <v>-0.20300000000000001</v>
      </c>
      <c r="R296"/>
      <c r="S296" s="6"/>
      <c r="W296" s="1">
        <v>294.29899999999998</v>
      </c>
      <c r="X296" s="1">
        <v>-1.71</v>
      </c>
      <c r="AA296"/>
      <c r="AB296" s="6"/>
      <c r="AJ296"/>
      <c r="AK296" s="6"/>
      <c r="AM296" s="1">
        <v>294.94299999999998</v>
      </c>
      <c r="AN296" s="1">
        <v>-4.0655000000000001</v>
      </c>
    </row>
    <row r="297" spans="2:40" x14ac:dyDescent="0.2">
      <c r="B297" s="1">
        <v>295.43200000000002</v>
      </c>
      <c r="C297" s="1">
        <v>3.4834999999999998</v>
      </c>
      <c r="E297" s="1">
        <v>295.334</v>
      </c>
      <c r="F297" s="1">
        <v>-3.5350000000000001</v>
      </c>
      <c r="H297" s="1">
        <v>295.37099999999998</v>
      </c>
      <c r="I297" s="1">
        <v>-4.1595000000000004</v>
      </c>
      <c r="J297" s="6"/>
      <c r="K297" s="1">
        <v>295.32600000000002</v>
      </c>
      <c r="L297" s="1">
        <v>-0.13650000000000001</v>
      </c>
      <c r="N297" s="1">
        <v>295.42200000000003</v>
      </c>
      <c r="O297" s="1">
        <v>-0.19600000000000001</v>
      </c>
      <c r="R297"/>
      <c r="S297" s="6"/>
      <c r="W297" s="1">
        <v>295.30399999999997</v>
      </c>
      <c r="X297" s="1">
        <v>-1.7070000000000001</v>
      </c>
      <c r="AA297"/>
      <c r="AB297" s="6"/>
      <c r="AJ297"/>
      <c r="AK297" s="6"/>
      <c r="AM297" s="1">
        <v>295.96300000000002</v>
      </c>
      <c r="AN297" s="1">
        <v>-4.0570000000000004</v>
      </c>
    </row>
    <row r="298" spans="2:40" x14ac:dyDescent="0.2">
      <c r="B298" s="1">
        <v>296.43599999999998</v>
      </c>
      <c r="C298" s="1">
        <v>3.431</v>
      </c>
      <c r="E298" s="1">
        <v>296.34199999999998</v>
      </c>
      <c r="F298" s="1">
        <v>-3.6120000000000001</v>
      </c>
      <c r="H298" s="1">
        <v>296.38099999999997</v>
      </c>
      <c r="I298" s="1">
        <v>-4.2329999999999997</v>
      </c>
      <c r="J298" s="6"/>
      <c r="K298" s="1">
        <v>296.33100000000002</v>
      </c>
      <c r="L298" s="1">
        <v>-0.14349999999999999</v>
      </c>
      <c r="N298" s="1">
        <v>296.43</v>
      </c>
      <c r="O298" s="1">
        <v>-0.18</v>
      </c>
      <c r="R298"/>
      <c r="S298" s="6"/>
      <c r="W298" s="1">
        <v>296.30900000000003</v>
      </c>
      <c r="X298" s="1">
        <v>-1.7135</v>
      </c>
      <c r="AA298"/>
      <c r="AB298" s="6"/>
      <c r="AJ298"/>
      <c r="AK298" s="6"/>
      <c r="AM298" s="1">
        <v>297.09199999999998</v>
      </c>
      <c r="AN298" s="1">
        <v>-4.0434999999999999</v>
      </c>
    </row>
    <row r="299" spans="2:40" x14ac:dyDescent="0.2">
      <c r="B299" s="1">
        <v>297.44</v>
      </c>
      <c r="C299" s="1">
        <v>3.3715000000000002</v>
      </c>
      <c r="E299" s="1">
        <v>297.34699999999998</v>
      </c>
      <c r="F299" s="1">
        <v>-3.6865000000000001</v>
      </c>
      <c r="H299" s="1">
        <v>297.38900000000001</v>
      </c>
      <c r="I299" s="1">
        <v>-4.298</v>
      </c>
      <c r="J299" s="6"/>
      <c r="K299" s="1">
        <v>297.33600000000001</v>
      </c>
      <c r="L299" s="1">
        <v>-0.14949999999999999</v>
      </c>
      <c r="N299" s="1">
        <v>297.43799999999999</v>
      </c>
      <c r="O299" s="1">
        <v>-0.16950000000000001</v>
      </c>
      <c r="R299"/>
      <c r="S299" s="6"/>
      <c r="W299" s="1">
        <v>297.31400000000002</v>
      </c>
      <c r="X299" s="1">
        <v>-1.7135</v>
      </c>
      <c r="AA299"/>
      <c r="AB299" s="6"/>
      <c r="AJ299"/>
      <c r="AK299" s="6"/>
      <c r="AM299" s="1">
        <v>298.09800000000001</v>
      </c>
      <c r="AN299" s="1">
        <v>-4.0469999999999997</v>
      </c>
    </row>
    <row r="300" spans="2:40" x14ac:dyDescent="0.2">
      <c r="B300" s="1">
        <v>298.447</v>
      </c>
      <c r="C300" s="1">
        <v>3.32</v>
      </c>
      <c r="E300" s="1">
        <v>298.35599999999999</v>
      </c>
      <c r="F300" s="1">
        <v>-3.7589999999999999</v>
      </c>
      <c r="H300" s="1">
        <v>298.39400000000001</v>
      </c>
      <c r="I300" s="1">
        <v>-4.3570000000000002</v>
      </c>
      <c r="J300" s="6"/>
      <c r="K300" s="1">
        <v>298.33999999999997</v>
      </c>
      <c r="L300" s="1">
        <v>-0.16450000000000001</v>
      </c>
      <c r="N300" s="1">
        <v>298.44299999999998</v>
      </c>
      <c r="O300" s="1">
        <v>-0.16300000000000001</v>
      </c>
      <c r="R300"/>
      <c r="S300" s="6"/>
      <c r="W300" s="1">
        <v>298.31799999999998</v>
      </c>
      <c r="X300" s="1">
        <v>-1.7155</v>
      </c>
      <c r="AA300"/>
      <c r="AB300" s="6"/>
      <c r="AJ300"/>
      <c r="AK300" s="6"/>
      <c r="AM300" s="1">
        <v>299.10599999999999</v>
      </c>
      <c r="AN300" s="1">
        <v>-4.0460000000000003</v>
      </c>
    </row>
    <row r="301" spans="2:40" x14ac:dyDescent="0.2">
      <c r="B301" s="1">
        <v>299.452</v>
      </c>
      <c r="C301" s="1">
        <v>3.258</v>
      </c>
      <c r="E301" s="1">
        <v>299.363</v>
      </c>
      <c r="F301" s="1">
        <v>-3.8275000000000001</v>
      </c>
      <c r="H301" s="1">
        <v>299.39999999999998</v>
      </c>
      <c r="I301" s="1">
        <v>-4.4204999999999997</v>
      </c>
      <c r="J301" s="6"/>
      <c r="K301" s="1">
        <v>299.34800000000001</v>
      </c>
      <c r="L301" s="1">
        <v>-0.16800000000000001</v>
      </c>
      <c r="N301" s="1">
        <v>299.44799999999998</v>
      </c>
      <c r="O301" s="1">
        <v>-0.16450000000000001</v>
      </c>
      <c r="R301"/>
      <c r="S301" s="6"/>
      <c r="W301" s="1">
        <v>299.32400000000001</v>
      </c>
      <c r="X301" s="1">
        <v>-1.7284999999999999</v>
      </c>
      <c r="AA301"/>
      <c r="AB301" s="6"/>
      <c r="AJ301"/>
      <c r="AK301" s="6"/>
      <c r="AM301" s="1">
        <v>300.11200000000002</v>
      </c>
      <c r="AN301" s="1">
        <v>-4.0425000000000004</v>
      </c>
    </row>
    <row r="302" spans="2:40" x14ac:dyDescent="0.2">
      <c r="B302" s="1">
        <v>300.45699999999999</v>
      </c>
      <c r="C302" s="1">
        <v>3.2105000000000001</v>
      </c>
      <c r="E302" s="1">
        <v>300.37099999999998</v>
      </c>
      <c r="F302" s="1">
        <v>-3.9009999999999998</v>
      </c>
      <c r="H302" s="1">
        <v>300.40699999999998</v>
      </c>
      <c r="I302" s="1">
        <v>-4.4844999999999997</v>
      </c>
      <c r="J302" s="6"/>
      <c r="K302" s="1">
        <v>300.35500000000002</v>
      </c>
      <c r="L302" s="1">
        <v>-0.189</v>
      </c>
      <c r="N302" s="1">
        <v>300.45499999999998</v>
      </c>
      <c r="O302" s="1">
        <v>-0.155</v>
      </c>
      <c r="R302"/>
      <c r="S302" s="6"/>
      <c r="W302" s="1">
        <v>300.33</v>
      </c>
      <c r="X302" s="1">
        <v>-1.726</v>
      </c>
      <c r="AA302"/>
      <c r="AB302" s="6"/>
      <c r="AJ302"/>
      <c r="AK302" s="6"/>
      <c r="AM302" s="1">
        <v>301.11700000000002</v>
      </c>
      <c r="AN302" s="1">
        <v>-4.0465</v>
      </c>
    </row>
    <row r="303" spans="2:40" x14ac:dyDescent="0.2">
      <c r="B303" s="1">
        <v>301.46499999999997</v>
      </c>
      <c r="C303" s="1">
        <v>3.1560000000000001</v>
      </c>
      <c r="E303" s="1">
        <v>301.37900000000002</v>
      </c>
      <c r="F303" s="1">
        <v>-3.9754999999999998</v>
      </c>
      <c r="H303" s="1">
        <v>301.41399999999999</v>
      </c>
      <c r="I303" s="1">
        <v>-4.5510000000000002</v>
      </c>
      <c r="J303" s="6"/>
      <c r="K303" s="1">
        <v>301.36099999999999</v>
      </c>
      <c r="L303" s="1">
        <v>-0.20200000000000001</v>
      </c>
      <c r="N303" s="1">
        <v>301.46300000000002</v>
      </c>
      <c r="O303" s="1">
        <v>-0.155</v>
      </c>
      <c r="R303"/>
      <c r="S303" s="6"/>
      <c r="W303" s="1">
        <v>301.33600000000001</v>
      </c>
      <c r="X303" s="1">
        <v>-1.7255</v>
      </c>
      <c r="AA303"/>
      <c r="AB303" s="6"/>
      <c r="AJ303"/>
      <c r="AK303" s="6"/>
      <c r="AM303" s="1">
        <v>302.12400000000002</v>
      </c>
      <c r="AN303" s="1">
        <v>-4.0315000000000003</v>
      </c>
    </row>
    <row r="304" spans="2:40" x14ac:dyDescent="0.2">
      <c r="B304" s="1">
        <v>302.47399999999999</v>
      </c>
      <c r="C304" s="1">
        <v>3.0964999999999998</v>
      </c>
      <c r="E304" s="1">
        <v>302.38499999999999</v>
      </c>
      <c r="F304" s="1">
        <v>-4.0534999999999997</v>
      </c>
      <c r="H304" s="1">
        <v>302.42</v>
      </c>
      <c r="I304" s="1">
        <v>-4.6289999999999996</v>
      </c>
      <c r="J304" s="6"/>
      <c r="K304" s="1">
        <v>302.36500000000001</v>
      </c>
      <c r="L304" s="1">
        <v>-0.21099999999999999</v>
      </c>
      <c r="N304" s="1">
        <v>302.47000000000003</v>
      </c>
      <c r="O304" s="1">
        <v>-0.1525</v>
      </c>
      <c r="R304"/>
      <c r="S304" s="6"/>
      <c r="AA304"/>
      <c r="AB304" s="6"/>
      <c r="AJ304"/>
      <c r="AK304" s="6"/>
      <c r="AM304" s="1">
        <v>303.15199999999999</v>
      </c>
      <c r="AN304" s="1">
        <v>-4.03</v>
      </c>
    </row>
    <row r="305" spans="2:40" x14ac:dyDescent="0.2">
      <c r="B305" s="1">
        <v>303.48</v>
      </c>
      <c r="C305" s="1">
        <v>3.0514999999999999</v>
      </c>
      <c r="E305" s="1">
        <v>303.39299999999997</v>
      </c>
      <c r="F305" s="1">
        <v>-4.1289999999999996</v>
      </c>
      <c r="H305" s="1">
        <v>303.42500000000001</v>
      </c>
      <c r="I305" s="1">
        <v>-4.6929999999999996</v>
      </c>
      <c r="J305" s="6"/>
      <c r="K305" s="1">
        <v>303.37099999999998</v>
      </c>
      <c r="L305" s="1">
        <v>-0.222</v>
      </c>
      <c r="N305" s="1">
        <v>303.47399999999999</v>
      </c>
      <c r="O305" s="1">
        <v>-0.1515</v>
      </c>
      <c r="R305"/>
      <c r="S305" s="6"/>
      <c r="AA305"/>
      <c r="AB305" s="6"/>
      <c r="AJ305"/>
      <c r="AK305" s="6"/>
      <c r="AM305" s="1">
        <v>304.15699999999998</v>
      </c>
      <c r="AN305" s="1">
        <v>-4.0279999999999996</v>
      </c>
    </row>
    <row r="306" spans="2:40" x14ac:dyDescent="0.2">
      <c r="B306" s="1">
        <v>304.48700000000002</v>
      </c>
      <c r="C306" s="1">
        <v>2.9940000000000002</v>
      </c>
      <c r="E306" s="1">
        <v>304.39800000000002</v>
      </c>
      <c r="F306" s="1">
        <v>-4.1985000000000001</v>
      </c>
      <c r="H306" s="1">
        <v>304.43099999999998</v>
      </c>
      <c r="I306" s="1">
        <v>-4.7619999999999996</v>
      </c>
      <c r="J306" s="6"/>
      <c r="K306" s="1">
        <v>304.37799999999999</v>
      </c>
      <c r="L306" s="1">
        <v>-0.22750000000000001</v>
      </c>
      <c r="N306" s="1">
        <v>304.48099999999999</v>
      </c>
      <c r="O306" s="1">
        <v>-0.13900000000000001</v>
      </c>
      <c r="R306"/>
      <c r="S306" s="6"/>
      <c r="AA306"/>
      <c r="AB306" s="6"/>
      <c r="AJ306"/>
      <c r="AK306" s="6"/>
      <c r="AM306" s="1">
        <v>305.17599999999999</v>
      </c>
      <c r="AN306" s="1">
        <v>-4.0209999999999999</v>
      </c>
    </row>
    <row r="307" spans="2:40" x14ac:dyDescent="0.2">
      <c r="B307" s="1">
        <v>305.49099999999999</v>
      </c>
      <c r="C307" s="1">
        <v>2.9375</v>
      </c>
      <c r="E307" s="1">
        <v>305.40600000000001</v>
      </c>
      <c r="F307" s="1">
        <v>-4.2690000000000001</v>
      </c>
      <c r="H307" s="1">
        <v>305.44</v>
      </c>
      <c r="I307" s="1">
        <v>-4.8304999999999998</v>
      </c>
      <c r="J307" s="6"/>
      <c r="K307" s="1">
        <v>305.38499999999999</v>
      </c>
      <c r="L307" s="1">
        <v>-0.22800000000000001</v>
      </c>
      <c r="N307" s="1">
        <v>305.488</v>
      </c>
      <c r="O307" s="1">
        <v>-0.13800000000000001</v>
      </c>
      <c r="R307"/>
      <c r="S307" s="6"/>
      <c r="AA307"/>
      <c r="AB307" s="6"/>
      <c r="AJ307"/>
      <c r="AK307" s="6"/>
      <c r="AM307" s="1">
        <v>306.18</v>
      </c>
      <c r="AN307" s="1">
        <v>-4.024</v>
      </c>
    </row>
    <row r="308" spans="2:40" x14ac:dyDescent="0.2">
      <c r="B308" s="1">
        <v>306.49599999999998</v>
      </c>
      <c r="C308" s="1">
        <v>2.8759999999999999</v>
      </c>
      <c r="E308" s="1">
        <v>306.41199999999998</v>
      </c>
      <c r="F308" s="1">
        <v>-4.3419999999999996</v>
      </c>
      <c r="H308" s="1">
        <v>306.44799999999998</v>
      </c>
      <c r="I308" s="1">
        <v>-4.8970000000000002</v>
      </c>
      <c r="J308" s="6"/>
      <c r="K308" s="1">
        <v>306.39100000000002</v>
      </c>
      <c r="L308" s="1">
        <v>-0.22850000000000001</v>
      </c>
      <c r="N308" s="1">
        <v>306.49400000000003</v>
      </c>
      <c r="O308" s="1">
        <v>-0.13850000000000001</v>
      </c>
      <c r="R308"/>
      <c r="S308" s="6"/>
      <c r="AA308"/>
      <c r="AB308" s="6"/>
      <c r="AJ308"/>
      <c r="AK308" s="6"/>
      <c r="AM308" s="1">
        <v>307.18299999999999</v>
      </c>
      <c r="AN308" s="1">
        <v>-4.0270000000000001</v>
      </c>
    </row>
    <row r="309" spans="2:40" x14ac:dyDescent="0.2">
      <c r="B309" s="1">
        <v>307.50099999999998</v>
      </c>
      <c r="C309" s="1">
        <v>2.8184999999999998</v>
      </c>
      <c r="E309" s="1">
        <v>307.41800000000001</v>
      </c>
      <c r="F309" s="1">
        <v>-4.4180000000000001</v>
      </c>
      <c r="H309" s="1">
        <v>307.45400000000001</v>
      </c>
      <c r="I309" s="1">
        <v>-4.9634999999999998</v>
      </c>
      <c r="J309" s="6"/>
      <c r="K309" s="1">
        <v>307.39600000000002</v>
      </c>
      <c r="L309" s="1">
        <v>-0.22850000000000001</v>
      </c>
      <c r="N309" s="1">
        <v>307.50299999999999</v>
      </c>
      <c r="O309" s="1">
        <v>-0.1295</v>
      </c>
      <c r="R309"/>
      <c r="S309" s="6"/>
      <c r="AA309"/>
      <c r="AB309" s="6"/>
      <c r="AJ309"/>
      <c r="AK309" s="6"/>
      <c r="AM309" s="1">
        <v>308.18599999999998</v>
      </c>
      <c r="AN309" s="1">
        <v>-4.0185000000000004</v>
      </c>
    </row>
    <row r="310" spans="2:40" x14ac:dyDescent="0.2">
      <c r="B310" s="1">
        <v>308.50299999999999</v>
      </c>
      <c r="C310" s="1">
        <v>2.758</v>
      </c>
      <c r="E310" s="1">
        <v>308.42200000000003</v>
      </c>
      <c r="F310" s="1">
        <v>-4.5004999999999997</v>
      </c>
      <c r="H310" s="1">
        <v>308.459</v>
      </c>
      <c r="I310" s="1">
        <v>-5.0350000000000001</v>
      </c>
      <c r="J310" s="6"/>
      <c r="K310" s="1">
        <v>308.40100000000001</v>
      </c>
      <c r="L310" s="1">
        <v>-0.23849999999999999</v>
      </c>
      <c r="N310" s="1">
        <v>308.50900000000001</v>
      </c>
      <c r="O310" s="1">
        <v>-0.124</v>
      </c>
      <c r="R310"/>
      <c r="S310" s="6"/>
      <c r="AA310"/>
      <c r="AB310" s="6"/>
      <c r="AJ310"/>
      <c r="AK310" s="6"/>
      <c r="AM310" s="1">
        <v>309.19099999999997</v>
      </c>
      <c r="AN310" s="1">
        <v>-4.0129999999999999</v>
      </c>
    </row>
    <row r="311" spans="2:40" x14ac:dyDescent="0.2">
      <c r="B311" s="1">
        <v>309.56400000000002</v>
      </c>
      <c r="C311" s="1">
        <v>2.702</v>
      </c>
      <c r="E311" s="1">
        <v>309.42700000000002</v>
      </c>
      <c r="F311" s="1">
        <v>-4.5774999999999997</v>
      </c>
      <c r="H311" s="1">
        <v>309.464</v>
      </c>
      <c r="I311" s="1">
        <v>-5.1064999999999996</v>
      </c>
      <c r="J311" s="6"/>
      <c r="K311" s="1">
        <v>309.40499999999997</v>
      </c>
      <c r="L311" s="1">
        <v>-0.24149999999999999</v>
      </c>
      <c r="N311" s="1">
        <v>309.51600000000002</v>
      </c>
      <c r="O311" s="1">
        <v>-0.1245</v>
      </c>
      <c r="R311"/>
      <c r="S311" s="6"/>
      <c r="AA311"/>
      <c r="AB311" s="6"/>
      <c r="AJ311"/>
      <c r="AK311" s="6"/>
      <c r="AM311" s="1">
        <v>310.19499999999999</v>
      </c>
      <c r="AN311" s="1">
        <v>-4.0220000000000002</v>
      </c>
    </row>
    <row r="312" spans="2:40" x14ac:dyDescent="0.2">
      <c r="B312" s="1">
        <v>310.57</v>
      </c>
      <c r="C312" s="1">
        <v>2.641</v>
      </c>
      <c r="E312" s="1">
        <v>310.43400000000003</v>
      </c>
      <c r="F312" s="1">
        <v>-4.6459999999999999</v>
      </c>
      <c r="H312" s="1">
        <v>310.46899999999999</v>
      </c>
      <c r="I312" s="1">
        <v>-5.1769999999999996</v>
      </c>
      <c r="J312" s="6"/>
      <c r="K312" s="1">
        <v>310.411</v>
      </c>
      <c r="L312" s="1">
        <v>-0.23849999999999999</v>
      </c>
      <c r="N312" s="1">
        <v>310.52300000000002</v>
      </c>
      <c r="O312" s="1">
        <v>-0.13</v>
      </c>
      <c r="R312"/>
      <c r="S312" s="6"/>
      <c r="AA312"/>
      <c r="AB312" s="6"/>
      <c r="AJ312"/>
      <c r="AK312" s="6"/>
      <c r="AM312" s="1">
        <v>311.2</v>
      </c>
      <c r="AN312" s="1">
        <v>-4.0225</v>
      </c>
    </row>
    <row r="313" spans="2:40" x14ac:dyDescent="0.2">
      <c r="B313" s="1">
        <v>311.57600000000002</v>
      </c>
      <c r="C313" s="1">
        <v>2.581</v>
      </c>
      <c r="E313" s="1">
        <v>311.44200000000001</v>
      </c>
      <c r="F313" s="1">
        <v>-4.7249999999999996</v>
      </c>
      <c r="H313" s="1">
        <v>311.476</v>
      </c>
      <c r="I313" s="1">
        <v>-5.2469999999999999</v>
      </c>
      <c r="J313" s="6"/>
      <c r="K313" s="1">
        <v>311.416</v>
      </c>
      <c r="L313" s="1">
        <v>-0.23499999999999999</v>
      </c>
      <c r="N313" s="1">
        <v>311.52699999999999</v>
      </c>
      <c r="O313" s="1">
        <v>-0.13150000000000001</v>
      </c>
      <c r="R313"/>
      <c r="S313" s="6"/>
      <c r="AA313"/>
      <c r="AB313" s="6"/>
      <c r="AJ313"/>
      <c r="AK313" s="6"/>
      <c r="AM313" s="1">
        <v>312.20400000000001</v>
      </c>
      <c r="AN313" s="1">
        <v>-4.0255000000000001</v>
      </c>
    </row>
    <row r="314" spans="2:40" x14ac:dyDescent="0.2">
      <c r="B314" s="1">
        <v>312.58300000000003</v>
      </c>
      <c r="C314" s="1">
        <v>2.5259999999999998</v>
      </c>
      <c r="E314" s="1">
        <v>312.44600000000003</v>
      </c>
      <c r="F314" s="1">
        <v>-4.8025000000000002</v>
      </c>
      <c r="H314" s="1">
        <v>312.483</v>
      </c>
      <c r="I314" s="1">
        <v>-4.9930000000000003</v>
      </c>
      <c r="J314" s="6"/>
      <c r="K314" s="1">
        <v>312.42399999999998</v>
      </c>
      <c r="L314" s="1">
        <v>-0.23400000000000001</v>
      </c>
      <c r="N314" s="1">
        <v>312.53300000000002</v>
      </c>
      <c r="O314" s="1">
        <v>-0.13150000000000001</v>
      </c>
      <c r="R314"/>
      <c r="S314" s="6"/>
      <c r="AA314"/>
      <c r="AB314" s="6"/>
      <c r="AJ314"/>
      <c r="AK314" s="6"/>
      <c r="AM314" s="1">
        <v>313.209</v>
      </c>
      <c r="AN314" s="1">
        <v>-4.0229999999999997</v>
      </c>
    </row>
    <row r="315" spans="2:40" x14ac:dyDescent="0.2">
      <c r="B315" s="1">
        <v>313.58699999999999</v>
      </c>
      <c r="C315" s="1">
        <v>2.4685000000000001</v>
      </c>
      <c r="E315" s="1">
        <v>313.45100000000002</v>
      </c>
      <c r="F315" s="1">
        <v>-4.8775000000000004</v>
      </c>
      <c r="H315" s="1">
        <v>313.49</v>
      </c>
      <c r="I315" s="1">
        <v>-3.3889999999999998</v>
      </c>
      <c r="J315" s="6"/>
      <c r="K315" s="1">
        <v>313.43</v>
      </c>
      <c r="L315" s="1">
        <v>-0.23649999999999999</v>
      </c>
      <c r="N315" s="1">
        <v>313.53800000000001</v>
      </c>
      <c r="O315" s="1">
        <v>-0.14149999999999999</v>
      </c>
      <c r="R315"/>
      <c r="S315" s="6"/>
      <c r="AA315"/>
      <c r="AB315" s="6"/>
      <c r="AJ315"/>
      <c r="AK315" s="6"/>
      <c r="AM315" s="1">
        <v>314.21300000000002</v>
      </c>
      <c r="AN315" s="1">
        <v>-4.0255000000000001</v>
      </c>
    </row>
    <row r="316" spans="2:40" x14ac:dyDescent="0.2">
      <c r="B316" s="1">
        <v>314.59199999999998</v>
      </c>
      <c r="C316" s="1">
        <v>2.4129999999999998</v>
      </c>
      <c r="E316" s="1">
        <v>314.46199999999999</v>
      </c>
      <c r="F316" s="1">
        <v>-4.9480000000000004</v>
      </c>
      <c r="H316" s="1">
        <v>314.495</v>
      </c>
      <c r="I316" s="1">
        <v>-2.0945</v>
      </c>
      <c r="J316" s="6"/>
      <c r="K316" s="1">
        <v>314.43400000000003</v>
      </c>
      <c r="L316" s="1">
        <v>-0.23649999999999999</v>
      </c>
      <c r="N316" s="1">
        <v>314.54300000000001</v>
      </c>
      <c r="O316" s="1">
        <v>-0.14099999999999999</v>
      </c>
      <c r="R316"/>
      <c r="S316" s="6"/>
      <c r="AA316"/>
      <c r="AB316" s="6"/>
      <c r="AJ316"/>
      <c r="AK316" s="6"/>
      <c r="AM316" s="1">
        <v>315.21600000000001</v>
      </c>
      <c r="AN316" s="1">
        <v>-4.0229999999999997</v>
      </c>
    </row>
    <row r="317" spans="2:40" x14ac:dyDescent="0.2">
      <c r="B317" s="1">
        <v>315.596</v>
      </c>
      <c r="C317" s="1">
        <v>2.3475000000000001</v>
      </c>
      <c r="E317" s="1">
        <v>315.47000000000003</v>
      </c>
      <c r="F317" s="1">
        <v>-5.0170000000000003</v>
      </c>
      <c r="H317" s="1">
        <v>315.5</v>
      </c>
      <c r="I317" s="1">
        <v>-1.2925</v>
      </c>
      <c r="J317" s="6"/>
      <c r="K317" s="1">
        <v>315.43900000000002</v>
      </c>
      <c r="L317" s="1">
        <v>-0.23449999999999999</v>
      </c>
      <c r="R317"/>
      <c r="S317" s="6"/>
      <c r="AA317"/>
      <c r="AB317" s="6"/>
      <c r="AJ317"/>
      <c r="AK317" s="6"/>
      <c r="AM317" s="1">
        <v>316.221</v>
      </c>
      <c r="AN317" s="1">
        <v>-4.0374999999999996</v>
      </c>
    </row>
    <row r="318" spans="2:40" x14ac:dyDescent="0.2">
      <c r="B318" s="1">
        <v>316.59699999999998</v>
      </c>
      <c r="C318" s="1">
        <v>2.2810000000000001</v>
      </c>
      <c r="E318" s="1">
        <v>316.47399999999999</v>
      </c>
      <c r="F318" s="1">
        <v>-5.0810000000000004</v>
      </c>
      <c r="H318" s="1">
        <v>316.505</v>
      </c>
      <c r="I318" s="1">
        <v>-0.79949999999999999</v>
      </c>
      <c r="J318" s="6"/>
      <c r="K318" s="1">
        <v>316.44499999999999</v>
      </c>
      <c r="L318" s="1">
        <v>-0.23849999999999999</v>
      </c>
      <c r="R318"/>
      <c r="S318" s="6"/>
      <c r="AA318"/>
      <c r="AB318" s="6"/>
      <c r="AJ318"/>
      <c r="AK318" s="6"/>
      <c r="AM318" s="1">
        <v>317.22699999999998</v>
      </c>
      <c r="AN318" s="1">
        <v>-4.0439999999999996</v>
      </c>
    </row>
    <row r="319" spans="2:40" x14ac:dyDescent="0.2">
      <c r="B319" s="1">
        <v>317.601</v>
      </c>
      <c r="C319" s="1">
        <v>2.2305000000000001</v>
      </c>
      <c r="E319" s="1">
        <v>317.47800000000001</v>
      </c>
      <c r="F319" s="1">
        <v>-5.1704999999999997</v>
      </c>
      <c r="H319" s="1">
        <v>317.51</v>
      </c>
      <c r="I319" s="1">
        <v>-0.5</v>
      </c>
      <c r="J319" s="6"/>
      <c r="K319" s="1">
        <v>317.44799999999998</v>
      </c>
      <c r="L319" s="1">
        <v>-0.23400000000000001</v>
      </c>
      <c r="R319"/>
      <c r="S319" s="6"/>
      <c r="AA319"/>
      <c r="AB319" s="6"/>
      <c r="AJ319"/>
      <c r="AK319" s="6"/>
      <c r="AM319" s="1">
        <v>318.23099999999999</v>
      </c>
      <c r="AN319" s="1">
        <v>-4.048</v>
      </c>
    </row>
    <row r="320" spans="2:40" x14ac:dyDescent="0.2">
      <c r="B320" s="1">
        <v>318.61099999999999</v>
      </c>
      <c r="C320" s="1">
        <v>2.1675</v>
      </c>
      <c r="E320" s="1">
        <v>318.48399999999998</v>
      </c>
      <c r="F320" s="1">
        <v>-5.25</v>
      </c>
      <c r="H320" s="1">
        <v>318.51499999999999</v>
      </c>
      <c r="I320" s="1">
        <v>-0.30649999999999999</v>
      </c>
      <c r="J320" s="6"/>
      <c r="K320" s="1">
        <v>318.452</v>
      </c>
      <c r="L320" s="1">
        <v>-0.23799999999999999</v>
      </c>
      <c r="R320"/>
      <c r="S320" s="6"/>
      <c r="AA320"/>
      <c r="AB320" s="6"/>
      <c r="AJ320"/>
      <c r="AK320" s="6"/>
      <c r="AM320" s="1">
        <v>319.23700000000002</v>
      </c>
      <c r="AN320" s="1">
        <v>-4.05</v>
      </c>
    </row>
    <row r="321" spans="2:40" x14ac:dyDescent="0.2">
      <c r="B321" s="1">
        <v>319.62</v>
      </c>
      <c r="C321" s="1">
        <v>2.1185</v>
      </c>
      <c r="E321" s="1">
        <v>319.48899999999998</v>
      </c>
      <c r="F321" s="1">
        <v>-5.3174999999999999</v>
      </c>
      <c r="H321" s="1">
        <v>319.52199999999999</v>
      </c>
      <c r="I321" s="1">
        <v>-0.187</v>
      </c>
      <c r="J321" s="6"/>
      <c r="K321" s="1">
        <v>319.45499999999998</v>
      </c>
      <c r="L321" s="1">
        <v>-0.23799999999999999</v>
      </c>
      <c r="R321"/>
      <c r="S321" s="6"/>
      <c r="AA321"/>
      <c r="AB321" s="6"/>
      <c r="AJ321"/>
      <c r="AK321" s="6"/>
      <c r="AM321" s="1">
        <v>320.245</v>
      </c>
      <c r="AN321" s="1">
        <v>-4.0439999999999996</v>
      </c>
    </row>
    <row r="322" spans="2:40" x14ac:dyDescent="0.2">
      <c r="B322" s="1">
        <v>320.62599999999998</v>
      </c>
      <c r="C322" s="1">
        <v>2.0545</v>
      </c>
      <c r="E322" s="1">
        <v>320.49599999999998</v>
      </c>
      <c r="F322" s="1">
        <v>-5.3860000000000001</v>
      </c>
      <c r="H322" s="1">
        <v>320.52699999999999</v>
      </c>
      <c r="I322" s="1">
        <v>-0.10299999999999999</v>
      </c>
      <c r="J322" s="6"/>
      <c r="K322" s="1">
        <v>320.46100000000001</v>
      </c>
      <c r="L322" s="1">
        <v>-0.24349999999999999</v>
      </c>
      <c r="R322"/>
      <c r="S322" s="6"/>
      <c r="AA322"/>
      <c r="AB322" s="6"/>
      <c r="AJ322"/>
      <c r="AK322" s="6"/>
      <c r="AM322" s="1">
        <v>321.25299999999999</v>
      </c>
      <c r="AN322" s="1">
        <v>-4.0439999999999996</v>
      </c>
    </row>
    <row r="323" spans="2:40" x14ac:dyDescent="0.2">
      <c r="B323" s="1">
        <v>321.63499999999999</v>
      </c>
      <c r="C323" s="1">
        <v>1.9995000000000001</v>
      </c>
      <c r="E323" s="1">
        <v>321.50200000000001</v>
      </c>
      <c r="F323" s="1">
        <v>-5.4630000000000001</v>
      </c>
      <c r="H323" s="1">
        <v>321.53500000000003</v>
      </c>
      <c r="I323" s="1">
        <v>-4.0500000000000001E-2</v>
      </c>
      <c r="J323" s="6"/>
      <c r="K323" s="1">
        <v>321.46800000000002</v>
      </c>
      <c r="L323" s="1">
        <v>-0.23749999999999999</v>
      </c>
      <c r="R323"/>
      <c r="S323" s="6"/>
      <c r="AA323"/>
      <c r="AB323" s="6"/>
      <c r="AJ323"/>
      <c r="AK323" s="6"/>
      <c r="AM323" s="1">
        <v>322.25700000000001</v>
      </c>
      <c r="AN323" s="1">
        <v>-4.0454999999999997</v>
      </c>
    </row>
    <row r="324" spans="2:40" x14ac:dyDescent="0.2">
      <c r="B324" s="1">
        <v>322.64</v>
      </c>
      <c r="C324" s="1">
        <v>1.9365000000000001</v>
      </c>
      <c r="E324" s="1">
        <v>322.51</v>
      </c>
      <c r="F324" s="1">
        <v>-5.5404999999999998</v>
      </c>
      <c r="H324" s="1">
        <v>322.54000000000002</v>
      </c>
      <c r="I324" s="1">
        <v>-9.4999999999999998E-3</v>
      </c>
      <c r="J324" s="6"/>
      <c r="K324" s="1">
        <v>322.476</v>
      </c>
      <c r="L324" s="1">
        <v>-0.24099999999999999</v>
      </c>
      <c r="R324"/>
      <c r="S324" s="6"/>
      <c r="AA324"/>
      <c r="AB324" s="6"/>
      <c r="AJ324"/>
      <c r="AK324" s="6"/>
      <c r="AM324" s="1">
        <v>323.26</v>
      </c>
      <c r="AN324" s="1">
        <v>-4.0490000000000004</v>
      </c>
    </row>
    <row r="325" spans="2:40" x14ac:dyDescent="0.2">
      <c r="B325" s="1">
        <v>323.64600000000002</v>
      </c>
      <c r="C325" s="1">
        <v>1.8819999999999999</v>
      </c>
      <c r="E325" s="1">
        <v>323.51900000000001</v>
      </c>
      <c r="F325" s="1">
        <v>-5.6165000000000003</v>
      </c>
      <c r="H325" s="1">
        <v>323.54500000000002</v>
      </c>
      <c r="I325" s="1">
        <v>1.4E-2</v>
      </c>
      <c r="J325" s="6"/>
      <c r="K325" s="1">
        <v>323.48099999999999</v>
      </c>
      <c r="L325" s="1">
        <v>-0.249</v>
      </c>
      <c r="R325"/>
      <c r="S325" s="6"/>
      <c r="AA325"/>
      <c r="AB325" s="6"/>
      <c r="AJ325"/>
      <c r="AK325" s="6"/>
      <c r="AM325" s="1">
        <v>324.26499999999999</v>
      </c>
      <c r="AN325" s="1">
        <v>-4.0529999999999999</v>
      </c>
    </row>
    <row r="326" spans="2:40" x14ac:dyDescent="0.2">
      <c r="B326" s="1">
        <v>324.64999999999998</v>
      </c>
      <c r="C326" s="1">
        <v>1.8260000000000001</v>
      </c>
      <c r="E326" s="1">
        <v>324.52600000000001</v>
      </c>
      <c r="F326" s="1">
        <v>-5.6935000000000002</v>
      </c>
      <c r="H326" s="1">
        <v>324.54899999999998</v>
      </c>
      <c r="I326" s="1">
        <v>3.6499999999999998E-2</v>
      </c>
      <c r="J326" s="6"/>
      <c r="K326" s="1">
        <v>324.48700000000002</v>
      </c>
      <c r="L326" s="1">
        <v>-0.2465</v>
      </c>
      <c r="R326"/>
      <c r="S326" s="6"/>
      <c r="AA326"/>
      <c r="AB326" s="6"/>
      <c r="AJ326"/>
      <c r="AK326" s="6"/>
      <c r="AM326" s="1">
        <v>325.27</v>
      </c>
      <c r="AN326" s="1">
        <v>-4.0545</v>
      </c>
    </row>
    <row r="327" spans="2:40" x14ac:dyDescent="0.2">
      <c r="B327" s="1">
        <v>325.65699999999998</v>
      </c>
      <c r="C327" s="1">
        <v>1.7655000000000001</v>
      </c>
      <c r="E327" s="1">
        <v>325.53300000000002</v>
      </c>
      <c r="F327" s="1">
        <v>-5.7649999999999997</v>
      </c>
      <c r="H327" s="1">
        <v>325.55399999999997</v>
      </c>
      <c r="I327" s="1">
        <v>5.5E-2</v>
      </c>
      <c r="J327" s="6"/>
      <c r="K327" s="1">
        <v>325.49200000000002</v>
      </c>
      <c r="L327" s="1">
        <v>-0.25750000000000001</v>
      </c>
      <c r="R327"/>
      <c r="S327" s="6"/>
      <c r="AA327"/>
      <c r="AB327" s="6"/>
      <c r="AJ327"/>
      <c r="AK327" s="6"/>
      <c r="AM327" s="1">
        <v>326.27499999999998</v>
      </c>
      <c r="AN327" s="1">
        <v>-4.0575000000000001</v>
      </c>
    </row>
    <row r="328" spans="2:40" x14ac:dyDescent="0.2">
      <c r="B328" s="1">
        <v>326.66300000000001</v>
      </c>
      <c r="C328" s="1">
        <v>1.7044999999999999</v>
      </c>
      <c r="E328" s="1">
        <v>326.54000000000002</v>
      </c>
      <c r="F328" s="1">
        <v>-5.8414999999999999</v>
      </c>
      <c r="H328" s="1">
        <v>326.55900000000003</v>
      </c>
      <c r="I328" s="1">
        <v>6.4500000000000002E-2</v>
      </c>
      <c r="J328" s="6"/>
      <c r="K328" s="1">
        <v>326.49900000000002</v>
      </c>
      <c r="L328" s="1">
        <v>-0.26</v>
      </c>
      <c r="R328"/>
      <c r="S328" s="6"/>
      <c r="AA328"/>
      <c r="AB328" s="6"/>
      <c r="AJ328"/>
      <c r="AK328" s="6"/>
      <c r="AM328" s="1">
        <v>327.279</v>
      </c>
      <c r="AN328" s="1">
        <v>-4.0614999999999997</v>
      </c>
    </row>
    <row r="329" spans="2:40" x14ac:dyDescent="0.2">
      <c r="B329" s="1">
        <v>327.67</v>
      </c>
      <c r="C329" s="1">
        <v>1.6379999999999999</v>
      </c>
      <c r="E329" s="1">
        <v>327.548</v>
      </c>
      <c r="F329" s="1">
        <v>-5.9124999999999996</v>
      </c>
      <c r="H329" s="1">
        <v>327.56299999999999</v>
      </c>
      <c r="I329" s="1">
        <v>8.4000000000000005E-2</v>
      </c>
      <c r="J329" s="6"/>
      <c r="K329" s="1">
        <v>327.50700000000001</v>
      </c>
      <c r="L329" s="1">
        <v>-0.255</v>
      </c>
      <c r="R329"/>
      <c r="S329" s="6"/>
      <c r="AA329"/>
      <c r="AB329" s="6"/>
      <c r="AJ329"/>
      <c r="AK329" s="6"/>
      <c r="AM329" s="1">
        <v>328.28500000000003</v>
      </c>
      <c r="AN329" s="1">
        <v>-4.0629999999999997</v>
      </c>
    </row>
    <row r="330" spans="2:40" x14ac:dyDescent="0.2">
      <c r="B330" s="1">
        <v>328.67700000000002</v>
      </c>
      <c r="C330" s="1">
        <v>1.583</v>
      </c>
      <c r="E330" s="1">
        <v>328.55200000000002</v>
      </c>
      <c r="F330" s="1">
        <v>-5.9909999999999997</v>
      </c>
      <c r="H330" s="1">
        <v>328.56900000000002</v>
      </c>
      <c r="I330" s="1">
        <v>9.1999999999999998E-2</v>
      </c>
      <c r="J330" s="6"/>
      <c r="K330" s="1">
        <v>328.51499999999999</v>
      </c>
      <c r="L330" s="1">
        <v>-0.2455</v>
      </c>
      <c r="R330"/>
      <c r="S330" s="6"/>
      <c r="AA330"/>
      <c r="AB330" s="6"/>
      <c r="AJ330"/>
      <c r="AK330" s="6"/>
      <c r="AM330" s="1">
        <v>329.28800000000001</v>
      </c>
      <c r="AN330" s="1">
        <v>-4.0620000000000003</v>
      </c>
    </row>
    <row r="331" spans="2:40" x14ac:dyDescent="0.2">
      <c r="B331" s="1">
        <v>329.68099999999998</v>
      </c>
      <c r="C331" s="1">
        <v>1.512</v>
      </c>
      <c r="E331" s="1">
        <v>329.55599999999998</v>
      </c>
      <c r="F331" s="1">
        <v>-6.0525000000000002</v>
      </c>
      <c r="H331" s="1">
        <v>329.57600000000002</v>
      </c>
      <c r="I331" s="1">
        <v>0.1045</v>
      </c>
      <c r="J331" s="6"/>
      <c r="K331" s="1">
        <v>329.52100000000002</v>
      </c>
      <c r="L331" s="1">
        <v>-0.23799999999999999</v>
      </c>
      <c r="R331"/>
      <c r="S331" s="6"/>
      <c r="AA331"/>
      <c r="AB331" s="6"/>
      <c r="AJ331"/>
      <c r="AK331" s="6"/>
      <c r="AM331" s="1">
        <v>330.29399999999998</v>
      </c>
      <c r="AN331" s="1">
        <v>-4.0750000000000002</v>
      </c>
    </row>
    <row r="332" spans="2:40" x14ac:dyDescent="0.2">
      <c r="B332" s="1">
        <v>330.68599999999998</v>
      </c>
      <c r="C332" s="1">
        <v>1.4550000000000001</v>
      </c>
      <c r="E332" s="1">
        <v>330.56299999999999</v>
      </c>
      <c r="F332" s="1">
        <v>-6.1289999999999996</v>
      </c>
      <c r="H332" s="1">
        <v>330.58199999999999</v>
      </c>
      <c r="I332" s="1">
        <v>0.11600000000000001</v>
      </c>
      <c r="J332" s="6"/>
      <c r="K332" s="1">
        <v>330.52600000000001</v>
      </c>
      <c r="L332" s="1">
        <v>-0.23350000000000001</v>
      </c>
      <c r="R332"/>
      <c r="S332" s="6"/>
      <c r="AA332"/>
      <c r="AB332" s="6"/>
      <c r="AJ332"/>
      <c r="AK332" s="6"/>
      <c r="AM332" s="1">
        <v>332.87900000000002</v>
      </c>
      <c r="AN332" s="1">
        <v>-4.0839999999999996</v>
      </c>
    </row>
    <row r="333" spans="2:40" x14ac:dyDescent="0.2">
      <c r="B333" s="1">
        <v>331.68900000000002</v>
      </c>
      <c r="C333" s="1">
        <v>1.3875</v>
      </c>
      <c r="E333" s="1">
        <v>331.57</v>
      </c>
      <c r="F333" s="1">
        <v>-6.2069999999999999</v>
      </c>
      <c r="H333" s="1">
        <v>331.58800000000002</v>
      </c>
      <c r="I333" s="1">
        <v>0.1245</v>
      </c>
      <c r="J333" s="6"/>
      <c r="K333" s="1">
        <v>331.53199999999998</v>
      </c>
      <c r="L333" s="1">
        <v>-0.23599999999999999</v>
      </c>
      <c r="R333"/>
      <c r="S333" s="6"/>
      <c r="AA333"/>
      <c r="AB333" s="6"/>
      <c r="AJ333"/>
      <c r="AK333" s="6"/>
      <c r="AM333" s="1">
        <v>333.88600000000002</v>
      </c>
      <c r="AN333" s="1">
        <v>-4.0819999999999999</v>
      </c>
    </row>
    <row r="334" spans="2:40" x14ac:dyDescent="0.2">
      <c r="B334" s="1">
        <v>332.69600000000003</v>
      </c>
      <c r="C334" s="1">
        <v>1.327</v>
      </c>
      <c r="E334" s="1">
        <v>332.57900000000001</v>
      </c>
      <c r="F334" s="1">
        <v>-6.2750000000000004</v>
      </c>
      <c r="H334" s="1">
        <v>332.59300000000002</v>
      </c>
      <c r="I334" s="1">
        <v>0.13600000000000001</v>
      </c>
      <c r="J334" s="6"/>
      <c r="K334" s="1">
        <v>332.53699999999998</v>
      </c>
      <c r="L334" s="1">
        <v>-0.24049999999999999</v>
      </c>
      <c r="R334"/>
      <c r="S334" s="6"/>
      <c r="AA334"/>
      <c r="AB334" s="6"/>
      <c r="AJ334"/>
      <c r="AK334" s="6"/>
      <c r="AM334" s="1">
        <v>334.89100000000002</v>
      </c>
      <c r="AN334" s="1">
        <v>-4.0795000000000003</v>
      </c>
    </row>
    <row r="335" spans="2:40" x14ac:dyDescent="0.2">
      <c r="B335" s="1">
        <v>333.70400000000001</v>
      </c>
      <c r="C335" s="1">
        <v>1.2585</v>
      </c>
      <c r="E335" s="1">
        <v>333.584</v>
      </c>
      <c r="F335" s="1">
        <v>-6.3525</v>
      </c>
      <c r="H335" s="1">
        <v>333.6</v>
      </c>
      <c r="I335" s="1">
        <v>0.14050000000000001</v>
      </c>
      <c r="J335" s="6"/>
      <c r="K335" s="1">
        <v>333.54199999999997</v>
      </c>
      <c r="L335" s="1">
        <v>-0.24049999999999999</v>
      </c>
      <c r="R335"/>
      <c r="S335" s="6"/>
      <c r="AA335"/>
      <c r="AB335" s="6"/>
      <c r="AJ335"/>
      <c r="AK335" s="6"/>
      <c r="AM335" s="1">
        <v>335.89600000000002</v>
      </c>
      <c r="AN335" s="1">
        <v>-4.0780000000000003</v>
      </c>
    </row>
    <row r="336" spans="2:40" x14ac:dyDescent="0.2">
      <c r="B336" s="1">
        <v>334.714</v>
      </c>
      <c r="C336" s="1">
        <v>1.204</v>
      </c>
      <c r="E336" s="1">
        <v>334.589</v>
      </c>
      <c r="F336" s="1">
        <v>-6.4234999999999998</v>
      </c>
      <c r="H336" s="1">
        <v>334.60500000000002</v>
      </c>
      <c r="I336" s="1">
        <v>0.14899999999999999</v>
      </c>
      <c r="J336" s="6"/>
      <c r="K336" s="1">
        <v>334.54899999999998</v>
      </c>
      <c r="L336" s="1">
        <v>-0.24399999999999999</v>
      </c>
      <c r="R336"/>
      <c r="S336" s="6"/>
      <c r="AA336"/>
      <c r="AB336" s="6"/>
      <c r="AJ336"/>
      <c r="AK336" s="6"/>
      <c r="AM336" s="1">
        <v>336.904</v>
      </c>
      <c r="AN336" s="1">
        <v>-4.0754999999999999</v>
      </c>
    </row>
    <row r="337" spans="2:40" x14ac:dyDescent="0.2">
      <c r="B337" s="1">
        <v>335.721</v>
      </c>
      <c r="C337" s="1">
        <v>1.1405000000000001</v>
      </c>
      <c r="E337" s="1">
        <v>335.59399999999999</v>
      </c>
      <c r="F337" s="1">
        <v>-6.4989999999999997</v>
      </c>
      <c r="H337" s="1">
        <v>335.61</v>
      </c>
      <c r="I337" s="1">
        <v>0.161</v>
      </c>
      <c r="J337" s="6"/>
      <c r="K337" s="1">
        <v>335.55599999999998</v>
      </c>
      <c r="L337" s="1">
        <v>-0.24349999999999999</v>
      </c>
      <c r="R337"/>
      <c r="S337" s="6"/>
      <c r="AA337"/>
      <c r="AB337" s="6"/>
      <c r="AJ337"/>
      <c r="AK337" s="6"/>
      <c r="AM337" s="1">
        <v>337.90899999999999</v>
      </c>
      <c r="AN337" s="1">
        <v>-4.0774999999999997</v>
      </c>
    </row>
    <row r="338" spans="2:40" x14ac:dyDescent="0.2">
      <c r="B338" s="1">
        <v>336.726</v>
      </c>
      <c r="C338" s="1">
        <v>1.0714999999999999</v>
      </c>
      <c r="E338" s="1">
        <v>336.59899999999999</v>
      </c>
      <c r="F338" s="1">
        <v>-6.5670000000000002</v>
      </c>
      <c r="H338" s="1">
        <v>336.61500000000001</v>
      </c>
      <c r="I338" s="1">
        <v>0.16400000000000001</v>
      </c>
      <c r="J338" s="6"/>
      <c r="K338" s="1">
        <v>336.565</v>
      </c>
      <c r="L338" s="1">
        <v>-0.24049999999999999</v>
      </c>
      <c r="R338"/>
      <c r="S338" s="6"/>
      <c r="AA338"/>
      <c r="AB338" s="6"/>
      <c r="AJ338"/>
      <c r="AK338" s="6"/>
      <c r="AM338" s="1">
        <v>338.91300000000001</v>
      </c>
      <c r="AN338" s="1">
        <v>-4.0730000000000004</v>
      </c>
    </row>
    <row r="339" spans="2:40" x14ac:dyDescent="0.2">
      <c r="B339" s="1">
        <v>337.73099999999999</v>
      </c>
      <c r="C339" s="1">
        <v>1.008</v>
      </c>
      <c r="E339" s="1">
        <v>337.60500000000002</v>
      </c>
      <c r="F339" s="1">
        <v>-6.6425000000000001</v>
      </c>
      <c r="H339" s="1">
        <v>337.62</v>
      </c>
      <c r="I339" s="1">
        <v>0.17050000000000001</v>
      </c>
      <c r="J339" s="6"/>
      <c r="K339" s="1">
        <v>337.57299999999998</v>
      </c>
      <c r="L339" s="1">
        <v>-0.251</v>
      </c>
      <c r="R339"/>
      <c r="S339" s="6"/>
      <c r="AA339"/>
      <c r="AB339" s="6"/>
      <c r="AJ339"/>
      <c r="AK339" s="6"/>
      <c r="AM339" s="1">
        <v>339.92</v>
      </c>
      <c r="AN339" s="1">
        <v>-4.08</v>
      </c>
    </row>
    <row r="340" spans="2:40" x14ac:dyDescent="0.2">
      <c r="B340" s="1">
        <v>338.73599999999999</v>
      </c>
      <c r="C340" s="1">
        <v>0.94650000000000001</v>
      </c>
      <c r="E340" s="1">
        <v>338.61099999999999</v>
      </c>
      <c r="F340" s="1">
        <v>-6.7080000000000002</v>
      </c>
      <c r="H340" s="1">
        <v>338.62400000000002</v>
      </c>
      <c r="I340" s="1">
        <v>0.17349999999999999</v>
      </c>
      <c r="J340" s="6"/>
      <c r="K340" s="1">
        <v>338.58</v>
      </c>
      <c r="L340" s="1">
        <v>-0.2555</v>
      </c>
      <c r="R340"/>
      <c r="S340" s="6"/>
      <c r="AA340"/>
      <c r="AB340" s="6"/>
      <c r="AJ340"/>
      <c r="AK340" s="6"/>
      <c r="AM340" s="1">
        <v>340.92500000000001</v>
      </c>
      <c r="AN340" s="1">
        <v>-4.0765000000000002</v>
      </c>
    </row>
    <row r="341" spans="2:40" x14ac:dyDescent="0.2">
      <c r="B341" s="1">
        <v>339.74</v>
      </c>
      <c r="C341" s="1">
        <v>0.88300000000000001</v>
      </c>
      <c r="E341" s="1">
        <v>339.62</v>
      </c>
      <c r="F341" s="1">
        <v>-6.7835000000000001</v>
      </c>
      <c r="H341" s="1">
        <v>339.63099999999997</v>
      </c>
      <c r="I341" s="1">
        <v>0.1825</v>
      </c>
      <c r="J341" s="6"/>
      <c r="K341" s="1">
        <v>339.58600000000001</v>
      </c>
      <c r="L341" s="1">
        <v>-0.2545</v>
      </c>
      <c r="R341"/>
      <c r="S341" s="6"/>
      <c r="AA341"/>
      <c r="AB341" s="6"/>
      <c r="AJ341"/>
      <c r="AK341" s="6"/>
      <c r="AM341" s="1">
        <v>341.93</v>
      </c>
      <c r="AN341" s="1">
        <v>-4.0785</v>
      </c>
    </row>
    <row r="342" spans="2:40" x14ac:dyDescent="0.2">
      <c r="B342" s="1">
        <v>340.74599999999998</v>
      </c>
      <c r="C342" s="1">
        <v>0.82199999999999995</v>
      </c>
      <c r="E342" s="1">
        <v>340.62700000000001</v>
      </c>
      <c r="F342" s="1">
        <v>-6.8659999999999997</v>
      </c>
      <c r="H342" s="1">
        <v>340.63499999999999</v>
      </c>
      <c r="I342" s="1">
        <v>0.18149999999999999</v>
      </c>
      <c r="J342" s="6"/>
      <c r="K342" s="1">
        <v>340.59100000000001</v>
      </c>
      <c r="L342" s="1">
        <v>-0.2515</v>
      </c>
      <c r="R342"/>
      <c r="S342" s="6"/>
      <c r="AA342"/>
      <c r="AB342" s="6"/>
      <c r="AJ342"/>
      <c r="AK342" s="6"/>
      <c r="AM342" s="1">
        <v>342.93299999999999</v>
      </c>
      <c r="AN342" s="1">
        <v>-4.08</v>
      </c>
    </row>
    <row r="343" spans="2:40" x14ac:dyDescent="0.2">
      <c r="B343" s="1">
        <v>341.75099999999998</v>
      </c>
      <c r="C343" s="1">
        <v>0.75949999999999995</v>
      </c>
      <c r="E343" s="1">
        <v>341.63</v>
      </c>
      <c r="F343" s="1">
        <v>-6.9314999999999998</v>
      </c>
      <c r="H343" s="1">
        <v>341.63900000000001</v>
      </c>
      <c r="I343" s="1">
        <v>0.1915</v>
      </c>
      <c r="J343" s="6"/>
      <c r="K343" s="1">
        <v>341.59500000000003</v>
      </c>
      <c r="L343" s="1">
        <v>-0.254</v>
      </c>
      <c r="R343"/>
      <c r="S343" s="6"/>
      <c r="AA343"/>
      <c r="AB343" s="6"/>
      <c r="AJ343"/>
      <c r="AK343" s="6"/>
      <c r="AM343" s="1">
        <v>343.94099999999997</v>
      </c>
      <c r="AN343" s="1">
        <v>-4.0819999999999999</v>
      </c>
    </row>
    <row r="344" spans="2:40" x14ac:dyDescent="0.2">
      <c r="B344" s="1">
        <v>342.75599999999997</v>
      </c>
      <c r="C344" s="1">
        <v>0.69099999999999995</v>
      </c>
      <c r="E344" s="1">
        <v>342.63600000000002</v>
      </c>
      <c r="F344" s="1">
        <v>-7.0010000000000003</v>
      </c>
      <c r="H344" s="1">
        <v>342.64800000000002</v>
      </c>
      <c r="I344" s="1">
        <v>0.19600000000000001</v>
      </c>
      <c r="J344" s="6"/>
      <c r="K344" s="1">
        <v>342.601</v>
      </c>
      <c r="L344" s="1">
        <v>-0.25700000000000001</v>
      </c>
      <c r="R344"/>
      <c r="S344" s="6"/>
      <c r="AA344"/>
      <c r="AB344" s="6"/>
      <c r="AJ344"/>
      <c r="AK344" s="6"/>
      <c r="AM344" s="1">
        <v>344.94499999999999</v>
      </c>
      <c r="AN344" s="1">
        <v>-4.08</v>
      </c>
    </row>
    <row r="345" spans="2:40" x14ac:dyDescent="0.2">
      <c r="B345" s="1">
        <v>343.76</v>
      </c>
      <c r="C345" s="1">
        <v>0.63649999999999995</v>
      </c>
      <c r="E345" s="1">
        <v>343.642</v>
      </c>
      <c r="F345" s="1">
        <v>-7.0674999999999999</v>
      </c>
      <c r="H345" s="1">
        <v>343.654</v>
      </c>
      <c r="I345" s="1">
        <v>0.20300000000000001</v>
      </c>
      <c r="J345" s="6"/>
      <c r="K345" s="1">
        <v>343.60599999999999</v>
      </c>
      <c r="L345" s="1">
        <v>-0.2515</v>
      </c>
      <c r="R345"/>
      <c r="S345" s="6"/>
      <c r="AA345"/>
      <c r="AB345" s="6"/>
      <c r="AJ345"/>
      <c r="AK345" s="6"/>
      <c r="AM345" s="1">
        <v>345.95</v>
      </c>
      <c r="AN345" s="1">
        <v>-4.0739999999999998</v>
      </c>
    </row>
    <row r="346" spans="2:40" x14ac:dyDescent="0.2">
      <c r="B346" s="1">
        <v>344.76600000000002</v>
      </c>
      <c r="C346" s="1">
        <v>0.57199999999999995</v>
      </c>
      <c r="E346" s="1">
        <v>344.64800000000002</v>
      </c>
      <c r="F346" s="1">
        <v>-7.133</v>
      </c>
      <c r="H346" s="1">
        <v>344.66</v>
      </c>
      <c r="I346" s="1">
        <v>0.20699999999999999</v>
      </c>
      <c r="J346" s="6"/>
      <c r="K346" s="1">
        <v>344.642</v>
      </c>
      <c r="L346" s="1">
        <v>-0.2485</v>
      </c>
      <c r="R346"/>
      <c r="S346" s="6"/>
      <c r="AA346"/>
      <c r="AB346" s="6"/>
      <c r="AJ346"/>
      <c r="AK346" s="6"/>
      <c r="AM346" s="1">
        <v>346.95699999999999</v>
      </c>
      <c r="AN346" s="1">
        <v>-4.0824999999999996</v>
      </c>
    </row>
    <row r="347" spans="2:40" x14ac:dyDescent="0.2">
      <c r="B347" s="1">
        <v>345.774</v>
      </c>
      <c r="C347" s="1">
        <v>0.4975</v>
      </c>
      <c r="E347" s="1">
        <v>345.654</v>
      </c>
      <c r="F347" s="1">
        <v>-7.2024999999999997</v>
      </c>
      <c r="H347" s="1">
        <v>345.66399999999999</v>
      </c>
      <c r="I347" s="1">
        <v>0.20849999999999999</v>
      </c>
      <c r="J347" s="6"/>
      <c r="K347" s="1">
        <v>345.65</v>
      </c>
      <c r="L347" s="1">
        <v>-0.24199999999999999</v>
      </c>
      <c r="R347"/>
      <c r="S347" s="6"/>
      <c r="AA347"/>
      <c r="AB347" s="6"/>
      <c r="AJ347"/>
      <c r="AK347" s="6"/>
      <c r="AM347" s="1">
        <v>347.96499999999997</v>
      </c>
      <c r="AN347" s="1">
        <v>-4.0890000000000004</v>
      </c>
    </row>
    <row r="348" spans="2:40" x14ac:dyDescent="0.2">
      <c r="B348" s="1">
        <v>346.78100000000001</v>
      </c>
      <c r="C348" s="1">
        <v>0.43099999999999999</v>
      </c>
      <c r="E348" s="1">
        <v>346.65800000000002</v>
      </c>
      <c r="F348" s="1">
        <v>-7.2645</v>
      </c>
      <c r="H348" s="1">
        <v>346.67</v>
      </c>
      <c r="I348" s="1">
        <v>0.2195</v>
      </c>
      <c r="J348" s="6"/>
      <c r="K348" s="1">
        <v>346.65499999999997</v>
      </c>
      <c r="L348" s="1">
        <v>-0.23599999999999999</v>
      </c>
      <c r="R348"/>
      <c r="S348" s="6"/>
      <c r="AA348"/>
      <c r="AB348" s="6"/>
      <c r="AJ348"/>
      <c r="AK348" s="6"/>
      <c r="AM348" s="1">
        <v>348.97199999999998</v>
      </c>
      <c r="AN348" s="1">
        <v>-4.0880000000000001</v>
      </c>
    </row>
    <row r="349" spans="2:40" x14ac:dyDescent="0.2">
      <c r="B349" s="1">
        <v>347.78500000000003</v>
      </c>
      <c r="C349" s="1">
        <v>0.36199999999999999</v>
      </c>
      <c r="E349" s="1">
        <v>347.66199999999998</v>
      </c>
      <c r="F349" s="1">
        <v>-7.3179999999999996</v>
      </c>
      <c r="H349" s="1">
        <v>347.67500000000001</v>
      </c>
      <c r="I349" s="1">
        <v>0.22500000000000001</v>
      </c>
      <c r="J349" s="6"/>
      <c r="K349" s="1">
        <v>347.66</v>
      </c>
      <c r="L349" s="1">
        <v>-0.23</v>
      </c>
      <c r="R349"/>
      <c r="S349" s="6"/>
      <c r="AA349"/>
      <c r="AB349" s="6"/>
      <c r="AJ349"/>
      <c r="AK349" s="6"/>
      <c r="AM349" s="1">
        <v>349.98</v>
      </c>
      <c r="AN349" s="1">
        <v>-4.0880000000000001</v>
      </c>
    </row>
    <row r="350" spans="2:40" x14ac:dyDescent="0.2">
      <c r="B350" s="1">
        <v>348.79199999999997</v>
      </c>
      <c r="C350" s="1">
        <v>0.29299999999999998</v>
      </c>
      <c r="E350" s="1">
        <v>348.66899999999998</v>
      </c>
      <c r="F350" s="1">
        <v>-7.3935000000000004</v>
      </c>
      <c r="H350" s="1">
        <v>348.68099999999998</v>
      </c>
      <c r="I350" s="1">
        <v>0.22950000000000001</v>
      </c>
      <c r="J350" s="6"/>
      <c r="K350" s="1">
        <v>348.66699999999997</v>
      </c>
      <c r="L350" s="1">
        <v>-0.22500000000000001</v>
      </c>
      <c r="R350"/>
      <c r="S350" s="6"/>
      <c r="AA350"/>
      <c r="AB350" s="6"/>
      <c r="AJ350"/>
      <c r="AK350" s="6"/>
      <c r="AM350" s="1">
        <v>350.98700000000002</v>
      </c>
      <c r="AN350" s="1">
        <v>-4.0890000000000004</v>
      </c>
    </row>
    <row r="351" spans="2:40" x14ac:dyDescent="0.2">
      <c r="B351" s="1">
        <v>349.79700000000003</v>
      </c>
      <c r="C351" s="1">
        <v>0.23799999999999999</v>
      </c>
      <c r="E351" s="1">
        <v>349.67500000000001</v>
      </c>
      <c r="F351" s="1">
        <v>-7.4480000000000004</v>
      </c>
      <c r="H351" s="1">
        <v>349.685</v>
      </c>
      <c r="I351" s="1">
        <v>0.23699999999999999</v>
      </c>
      <c r="J351" s="6"/>
      <c r="K351" s="1">
        <v>349.67500000000001</v>
      </c>
      <c r="L351" s="1">
        <v>-0.217</v>
      </c>
      <c r="R351"/>
      <c r="S351" s="6"/>
      <c r="AA351"/>
      <c r="AB351" s="6"/>
      <c r="AJ351"/>
      <c r="AK351" s="6"/>
      <c r="AM351" s="1">
        <v>351.995</v>
      </c>
      <c r="AN351" s="1">
        <v>-4.0955000000000004</v>
      </c>
    </row>
    <row r="352" spans="2:40" x14ac:dyDescent="0.2">
      <c r="B352" s="1">
        <v>350.80599999999998</v>
      </c>
      <c r="C352" s="1">
        <v>0.16950000000000001</v>
      </c>
      <c r="E352" s="1">
        <v>350.68200000000002</v>
      </c>
      <c r="F352" s="1">
        <v>-7.5194999999999999</v>
      </c>
      <c r="H352" s="1">
        <v>350.69499999999999</v>
      </c>
      <c r="I352" s="1">
        <v>0.24</v>
      </c>
      <c r="J352" s="6"/>
      <c r="K352" s="1">
        <v>350.68</v>
      </c>
      <c r="L352" s="1">
        <v>-0.21199999999999999</v>
      </c>
      <c r="R352"/>
      <c r="S352" s="6"/>
      <c r="AA352"/>
      <c r="AB352" s="6"/>
      <c r="AJ352"/>
      <c r="AK352" s="6"/>
      <c r="AM352" s="1">
        <v>353</v>
      </c>
      <c r="AN352" s="1">
        <v>-4.1005000000000003</v>
      </c>
    </row>
    <row r="353" spans="2:40" x14ac:dyDescent="0.2">
      <c r="B353" s="1">
        <v>351.81</v>
      </c>
      <c r="C353" s="1">
        <v>0.1075</v>
      </c>
      <c r="E353" s="1">
        <v>351.68900000000002</v>
      </c>
      <c r="F353" s="1">
        <v>-7.5884999999999998</v>
      </c>
      <c r="H353" s="1">
        <v>351.7</v>
      </c>
      <c r="I353" s="1">
        <v>0.247</v>
      </c>
      <c r="J353" s="6"/>
      <c r="K353" s="1">
        <v>351.68599999999998</v>
      </c>
      <c r="L353" s="1">
        <v>-0.2145</v>
      </c>
      <c r="R353"/>
      <c r="S353" s="6"/>
      <c r="AA353"/>
      <c r="AB353" s="6"/>
      <c r="AJ353"/>
      <c r="AK353" s="6"/>
      <c r="AM353" s="1">
        <v>354.00599999999997</v>
      </c>
      <c r="AN353" s="1">
        <v>-4.0949999999999998</v>
      </c>
    </row>
    <row r="354" spans="2:40" x14ac:dyDescent="0.2">
      <c r="B354" s="1">
        <v>352.81599999999997</v>
      </c>
      <c r="C354" s="1">
        <v>4.1500000000000002E-2</v>
      </c>
      <c r="E354" s="1">
        <v>352.69499999999999</v>
      </c>
      <c r="F354" s="1">
        <v>-7.6589999999999998</v>
      </c>
      <c r="H354" s="1">
        <v>352.70499999999998</v>
      </c>
      <c r="I354" s="1">
        <v>0.253</v>
      </c>
      <c r="J354" s="6"/>
      <c r="K354" s="1">
        <v>352.68900000000002</v>
      </c>
      <c r="L354" s="1">
        <v>-0.2135</v>
      </c>
      <c r="R354"/>
      <c r="S354" s="6"/>
      <c r="AA354"/>
      <c r="AB354" s="6"/>
      <c r="AJ354"/>
      <c r="AK354" s="6"/>
      <c r="AM354" s="1">
        <v>355.01</v>
      </c>
      <c r="AN354" s="1">
        <v>-4.0955000000000004</v>
      </c>
    </row>
    <row r="355" spans="2:40" x14ac:dyDescent="0.2">
      <c r="B355" s="1">
        <v>353.82100000000003</v>
      </c>
      <c r="C355" s="1">
        <v>-1.4E-2</v>
      </c>
      <c r="E355" s="1">
        <v>353.70299999999997</v>
      </c>
      <c r="F355" s="1">
        <v>-7.7309999999999999</v>
      </c>
      <c r="H355" s="1">
        <v>353.71199999999999</v>
      </c>
      <c r="I355" s="1">
        <v>0.25700000000000001</v>
      </c>
      <c r="J355" s="6"/>
      <c r="K355" s="1">
        <v>353.69299999999998</v>
      </c>
      <c r="L355" s="1">
        <v>-0.2215</v>
      </c>
      <c r="R355"/>
      <c r="S355" s="6"/>
      <c r="AA355"/>
      <c r="AB355" s="6"/>
      <c r="AJ355"/>
      <c r="AK355" s="6"/>
      <c r="AM355" s="1">
        <v>356.01400000000001</v>
      </c>
      <c r="AN355" s="1">
        <v>-4.0960000000000001</v>
      </c>
    </row>
    <row r="356" spans="2:40" x14ac:dyDescent="0.2">
      <c r="B356" s="1">
        <v>354.82600000000002</v>
      </c>
      <c r="C356" s="1">
        <v>-6.6500000000000004E-2</v>
      </c>
      <c r="E356" s="1">
        <v>354.70800000000003</v>
      </c>
      <c r="F356" s="1">
        <v>-7.7794999999999996</v>
      </c>
      <c r="H356" s="1">
        <v>354.71699999999998</v>
      </c>
      <c r="I356" s="1">
        <v>0.26600000000000001</v>
      </c>
      <c r="J356" s="6"/>
      <c r="K356" s="1">
        <v>354.70100000000002</v>
      </c>
      <c r="L356" s="1">
        <v>-0.2175</v>
      </c>
      <c r="R356"/>
      <c r="S356" s="6"/>
      <c r="AA356"/>
      <c r="AB356" s="6"/>
      <c r="AJ356"/>
      <c r="AK356" s="6"/>
      <c r="AM356" s="1">
        <v>357.02</v>
      </c>
      <c r="AN356" s="1">
        <v>-4.1050000000000004</v>
      </c>
    </row>
    <row r="357" spans="2:40" x14ac:dyDescent="0.2">
      <c r="B357" s="1">
        <v>355.83100000000002</v>
      </c>
      <c r="C357" s="1">
        <v>-0.13550000000000001</v>
      </c>
      <c r="E357" s="1">
        <v>355.71199999999999</v>
      </c>
      <c r="F357" s="1">
        <v>-6.3215000000000003</v>
      </c>
      <c r="H357" s="1">
        <v>355.72199999999998</v>
      </c>
      <c r="I357" s="1">
        <v>0.27650000000000002</v>
      </c>
      <c r="J357" s="6"/>
      <c r="K357" s="1">
        <v>355.70499999999998</v>
      </c>
      <c r="L357" s="1">
        <v>-0.20799999999999999</v>
      </c>
      <c r="R357"/>
      <c r="S357" s="6"/>
      <c r="AA357"/>
      <c r="AB357" s="6"/>
      <c r="AJ357"/>
      <c r="AK357" s="6"/>
      <c r="AM357" s="1">
        <v>358.02199999999999</v>
      </c>
      <c r="AN357" s="1">
        <v>-4.1020000000000003</v>
      </c>
    </row>
    <row r="358" spans="2:40" x14ac:dyDescent="0.2">
      <c r="B358" s="1">
        <v>356.83600000000001</v>
      </c>
      <c r="C358" s="1">
        <v>-0.19400000000000001</v>
      </c>
      <c r="E358" s="1">
        <v>356.71800000000002</v>
      </c>
      <c r="F358" s="1">
        <v>-4.0664999999999996</v>
      </c>
      <c r="H358" s="1">
        <v>356.72899999999998</v>
      </c>
      <c r="I358" s="1">
        <v>0.27900000000000003</v>
      </c>
      <c r="J358" s="6"/>
      <c r="K358" s="1">
        <v>356.71100000000001</v>
      </c>
      <c r="L358" s="1">
        <v>-0.216</v>
      </c>
      <c r="R358"/>
      <c r="S358" s="6"/>
      <c r="AA358"/>
      <c r="AB358" s="6"/>
      <c r="AJ358"/>
      <c r="AK358" s="6"/>
      <c r="AM358" s="1">
        <v>359.02499999999998</v>
      </c>
      <c r="AN358" s="1">
        <v>-4.1055000000000001</v>
      </c>
    </row>
    <row r="359" spans="2:40" x14ac:dyDescent="0.2">
      <c r="B359" s="1">
        <v>357.84100000000001</v>
      </c>
      <c r="C359" s="1">
        <v>-0.25750000000000001</v>
      </c>
      <c r="E359" s="1">
        <v>357.72199999999998</v>
      </c>
      <c r="F359" s="1">
        <v>-2.5844999999999998</v>
      </c>
      <c r="H359" s="1">
        <v>357.73700000000002</v>
      </c>
      <c r="I359" s="1">
        <v>0.29249999999999998</v>
      </c>
      <c r="J359" s="6"/>
      <c r="K359" s="1">
        <v>357.71600000000001</v>
      </c>
      <c r="L359" s="1">
        <v>-0.22850000000000001</v>
      </c>
      <c r="R359"/>
      <c r="S359" s="6"/>
      <c r="AA359"/>
      <c r="AB359" s="6"/>
      <c r="AJ359"/>
      <c r="AK359" s="6"/>
      <c r="AM359" s="1">
        <v>360.029</v>
      </c>
      <c r="AN359" s="1">
        <v>-4.1105</v>
      </c>
    </row>
    <row r="360" spans="2:40" x14ac:dyDescent="0.2">
      <c r="B360" s="1">
        <v>358.84699999999998</v>
      </c>
      <c r="C360" s="1">
        <v>-0.3155</v>
      </c>
      <c r="E360" s="1">
        <v>358.726</v>
      </c>
      <c r="F360" s="1">
        <v>-1.6815</v>
      </c>
      <c r="H360" s="1">
        <v>358.74299999999999</v>
      </c>
      <c r="I360" s="1">
        <v>0.30549999999999999</v>
      </c>
      <c r="J360" s="6"/>
      <c r="K360" s="1">
        <v>358.721</v>
      </c>
      <c r="L360" s="1">
        <v>-0.23150000000000001</v>
      </c>
      <c r="R360"/>
      <c r="S360" s="6"/>
      <c r="AA360"/>
      <c r="AB360" s="6"/>
      <c r="AJ360"/>
      <c r="AK360" s="6"/>
      <c r="AM360" s="1">
        <v>361.03399999999999</v>
      </c>
      <c r="AN360" s="1">
        <v>-4.1180000000000003</v>
      </c>
    </row>
    <row r="361" spans="2:40" x14ac:dyDescent="0.2">
      <c r="B361" s="1">
        <v>359.85</v>
      </c>
      <c r="C361" s="1">
        <v>-0.36149999999999999</v>
      </c>
      <c r="E361" s="1">
        <v>359.733</v>
      </c>
      <c r="F361" s="1">
        <v>-1.1220000000000001</v>
      </c>
      <c r="H361" s="1">
        <v>359.75</v>
      </c>
      <c r="I361" s="1">
        <v>0.31</v>
      </c>
      <c r="J361" s="6"/>
      <c r="K361" s="1">
        <v>359.726</v>
      </c>
      <c r="L361" s="1">
        <v>-0.23699999999999999</v>
      </c>
      <c r="R361"/>
      <c r="S361" s="6"/>
      <c r="AA361"/>
      <c r="AB361" s="6"/>
      <c r="AJ361"/>
      <c r="AK361" s="6"/>
      <c r="AM361" s="1">
        <v>362.04</v>
      </c>
      <c r="AN361" s="1">
        <v>-4.12</v>
      </c>
    </row>
    <row r="362" spans="2:40" x14ac:dyDescent="0.2">
      <c r="B362" s="1">
        <v>360.85599999999999</v>
      </c>
      <c r="C362" s="1">
        <v>-0.42299999999999999</v>
      </c>
      <c r="E362" s="1">
        <v>360.74</v>
      </c>
      <c r="F362" s="1">
        <v>-0.77049999999999996</v>
      </c>
      <c r="H362" s="1">
        <v>360.75400000000002</v>
      </c>
      <c r="I362" s="1">
        <v>0.318</v>
      </c>
      <c r="J362" s="6"/>
      <c r="K362" s="1">
        <v>360.73200000000003</v>
      </c>
      <c r="L362" s="1">
        <v>-0.245</v>
      </c>
      <c r="R362"/>
      <c r="S362" s="6"/>
      <c r="AA362"/>
      <c r="AB362" s="6"/>
      <c r="AJ362"/>
      <c r="AK362" s="6"/>
      <c r="AM362" s="1">
        <v>363.04399999999998</v>
      </c>
      <c r="AN362" s="1">
        <v>-4.1189999999999998</v>
      </c>
    </row>
    <row r="363" spans="2:40" x14ac:dyDescent="0.2">
      <c r="B363" s="1">
        <v>361.86</v>
      </c>
      <c r="C363" s="1">
        <v>-0.48299999999999998</v>
      </c>
      <c r="E363" s="1">
        <v>361.74400000000003</v>
      </c>
      <c r="F363" s="1">
        <v>-0.55100000000000005</v>
      </c>
      <c r="H363" s="1">
        <v>361.75700000000001</v>
      </c>
      <c r="I363" s="1">
        <v>0.32850000000000001</v>
      </c>
      <c r="J363" s="6"/>
      <c r="K363" s="1">
        <v>361.74099999999999</v>
      </c>
      <c r="L363" s="1">
        <v>-0.24249999999999999</v>
      </c>
      <c r="R363"/>
      <c r="S363" s="6"/>
      <c r="AA363"/>
      <c r="AB363" s="6"/>
      <c r="AJ363"/>
      <c r="AK363" s="6"/>
      <c r="AM363" s="1">
        <v>364.05099999999999</v>
      </c>
      <c r="AN363" s="1">
        <v>-4.1210000000000004</v>
      </c>
    </row>
    <row r="364" spans="2:40" x14ac:dyDescent="0.2">
      <c r="B364" s="1">
        <v>362.86500000000001</v>
      </c>
      <c r="C364" s="1">
        <v>-0.54300000000000004</v>
      </c>
      <c r="E364" s="1">
        <v>362.75</v>
      </c>
      <c r="F364" s="1">
        <v>-0.41599999999999998</v>
      </c>
      <c r="H364" s="1">
        <v>362.762</v>
      </c>
      <c r="I364" s="1">
        <v>0.33050000000000002</v>
      </c>
      <c r="J364" s="6"/>
      <c r="K364" s="1">
        <v>362.74599999999998</v>
      </c>
      <c r="L364" s="1">
        <v>-0.2485</v>
      </c>
      <c r="R364"/>
      <c r="S364" s="6"/>
      <c r="AA364"/>
      <c r="AB364" s="6"/>
      <c r="AJ364"/>
      <c r="AK364" s="6"/>
      <c r="AM364" s="1">
        <v>365.05700000000002</v>
      </c>
      <c r="AN364" s="1">
        <v>-4.1269999999999998</v>
      </c>
    </row>
    <row r="365" spans="2:40" x14ac:dyDescent="0.2">
      <c r="B365" s="1">
        <v>363.87099999999998</v>
      </c>
      <c r="C365" s="1">
        <v>-0.61399999999999999</v>
      </c>
      <c r="E365" s="1">
        <v>363.75400000000002</v>
      </c>
      <c r="F365" s="1">
        <v>-0.32550000000000001</v>
      </c>
      <c r="H365" s="1">
        <v>363.76799999999997</v>
      </c>
      <c r="I365" s="1">
        <v>0.34100000000000003</v>
      </c>
      <c r="J365" s="6"/>
      <c r="K365" s="1">
        <v>363.75099999999998</v>
      </c>
      <c r="L365" s="1">
        <v>-0.255</v>
      </c>
      <c r="R365"/>
      <c r="S365" s="6"/>
      <c r="AA365"/>
      <c r="AB365" s="6"/>
      <c r="AJ365"/>
      <c r="AK365" s="6"/>
      <c r="AM365" s="1">
        <v>366.065</v>
      </c>
      <c r="AN365" s="1">
        <v>-4.1304999999999996</v>
      </c>
    </row>
    <row r="366" spans="2:40" x14ac:dyDescent="0.2">
      <c r="B366" s="1">
        <v>364.87299999999999</v>
      </c>
      <c r="C366" s="1">
        <v>-0.67900000000000005</v>
      </c>
      <c r="E366" s="1">
        <v>364.75799999999998</v>
      </c>
      <c r="F366" s="1">
        <v>-0.26800000000000002</v>
      </c>
      <c r="H366" s="1">
        <v>364.77199999999999</v>
      </c>
      <c r="I366" s="1">
        <v>0.35</v>
      </c>
      <c r="J366" s="6"/>
      <c r="K366" s="1">
        <v>364.75400000000002</v>
      </c>
      <c r="L366" s="1">
        <v>-0.26250000000000001</v>
      </c>
      <c r="R366"/>
      <c r="S366" s="6"/>
      <c r="AA366"/>
      <c r="AB366" s="6"/>
      <c r="AJ366"/>
      <c r="AK366" s="6"/>
      <c r="AM366" s="1">
        <v>367.07299999999998</v>
      </c>
      <c r="AN366" s="1">
        <v>-4.1399999999999997</v>
      </c>
    </row>
    <row r="367" spans="2:40" x14ac:dyDescent="0.2">
      <c r="B367" s="1">
        <v>365.87700000000001</v>
      </c>
      <c r="C367" s="1">
        <v>-0.74099999999999999</v>
      </c>
      <c r="E367" s="1">
        <v>365.762</v>
      </c>
      <c r="F367" s="1">
        <v>-0.2215</v>
      </c>
      <c r="H367" s="1">
        <v>365.77800000000002</v>
      </c>
      <c r="I367" s="1">
        <v>0.34949999999999998</v>
      </c>
      <c r="J367" s="6"/>
      <c r="K367" s="1">
        <v>365.75900000000001</v>
      </c>
      <c r="L367" s="1">
        <v>-0.25800000000000001</v>
      </c>
      <c r="R367"/>
      <c r="S367" s="6"/>
      <c r="AA367"/>
      <c r="AB367" s="6"/>
      <c r="AJ367"/>
      <c r="AK367" s="6"/>
      <c r="AM367" s="1">
        <v>368.07799999999997</v>
      </c>
      <c r="AN367" s="1">
        <v>-4.141</v>
      </c>
    </row>
    <row r="368" spans="2:40" x14ac:dyDescent="0.2">
      <c r="B368" s="1">
        <v>366.88200000000001</v>
      </c>
      <c r="C368" s="1">
        <v>-0.80549999999999999</v>
      </c>
      <c r="E368" s="1">
        <v>366.76600000000002</v>
      </c>
      <c r="F368" s="1">
        <v>-0.1915</v>
      </c>
      <c r="H368" s="1">
        <v>366.78399999999999</v>
      </c>
      <c r="I368" s="1">
        <v>0.35599999999999998</v>
      </c>
      <c r="J368" s="6"/>
      <c r="K368" s="1">
        <v>366.76299999999998</v>
      </c>
      <c r="L368" s="1">
        <v>-0.26450000000000001</v>
      </c>
      <c r="R368"/>
      <c r="S368" s="6"/>
      <c r="AA368"/>
      <c r="AB368" s="6"/>
      <c r="AJ368"/>
      <c r="AK368" s="6"/>
    </row>
    <row r="369" spans="2:37" x14ac:dyDescent="0.2">
      <c r="B369" s="1">
        <v>367.89</v>
      </c>
      <c r="C369" s="1">
        <v>-0.871</v>
      </c>
      <c r="E369" s="1">
        <v>367.774</v>
      </c>
      <c r="F369" s="1">
        <v>-0.16350000000000001</v>
      </c>
      <c r="H369" s="1">
        <v>367.79</v>
      </c>
      <c r="I369" s="1">
        <v>0.36399999999999999</v>
      </c>
      <c r="J369" s="6"/>
      <c r="K369" s="1">
        <v>367.767</v>
      </c>
      <c r="L369" s="1">
        <v>-0.26800000000000002</v>
      </c>
      <c r="R369"/>
      <c r="S369" s="6"/>
      <c r="AA369"/>
      <c r="AB369" s="6"/>
      <c r="AJ369"/>
      <c r="AK369" s="6"/>
    </row>
    <row r="370" spans="2:37" x14ac:dyDescent="0.2">
      <c r="B370" s="1">
        <v>368.89600000000002</v>
      </c>
      <c r="C370" s="1">
        <v>-0.94099999999999995</v>
      </c>
      <c r="E370" s="1">
        <v>368.78100000000001</v>
      </c>
      <c r="F370" s="1">
        <v>-0.14799999999999999</v>
      </c>
      <c r="H370" s="1">
        <v>368.79399999999998</v>
      </c>
      <c r="I370" s="1">
        <v>0.36399999999999999</v>
      </c>
      <c r="J370" s="6"/>
      <c r="K370" s="1">
        <v>368.77499999999998</v>
      </c>
      <c r="L370" s="1">
        <v>-0.26800000000000002</v>
      </c>
      <c r="R370"/>
      <c r="S370" s="6"/>
      <c r="AA370"/>
      <c r="AB370" s="6"/>
      <c r="AJ370"/>
      <c r="AK370" s="6"/>
    </row>
    <row r="371" spans="2:37" x14ac:dyDescent="0.2">
      <c r="B371" s="1">
        <v>369.90199999999999</v>
      </c>
      <c r="C371" s="1">
        <v>-0.998</v>
      </c>
      <c r="E371" s="1">
        <v>369.78800000000001</v>
      </c>
      <c r="F371" s="1">
        <v>-0.13800000000000001</v>
      </c>
      <c r="H371" s="1">
        <v>369.8</v>
      </c>
      <c r="I371" s="1">
        <v>0.3715</v>
      </c>
      <c r="J371" s="6"/>
      <c r="K371" s="1">
        <v>369.78</v>
      </c>
      <c r="L371" s="1">
        <v>-0.26900000000000002</v>
      </c>
      <c r="R371"/>
      <c r="S371" s="6"/>
      <c r="AA371"/>
      <c r="AB371" s="6"/>
      <c r="AJ371"/>
      <c r="AK371" s="6"/>
    </row>
    <row r="372" spans="2:37" x14ac:dyDescent="0.2">
      <c r="B372" s="1">
        <v>370.91</v>
      </c>
      <c r="C372" s="1">
        <v>-1.0660000000000001</v>
      </c>
      <c r="E372" s="1">
        <v>370.79700000000003</v>
      </c>
      <c r="F372" s="1">
        <v>-0.112</v>
      </c>
      <c r="H372" s="1">
        <v>370.80500000000001</v>
      </c>
      <c r="I372" s="1">
        <v>0.3765</v>
      </c>
      <c r="J372" s="6"/>
      <c r="K372" s="1">
        <v>370.78899999999999</v>
      </c>
      <c r="L372" s="1">
        <v>-0.27300000000000002</v>
      </c>
      <c r="R372"/>
      <c r="S372" s="6"/>
      <c r="AA372"/>
      <c r="AB372" s="6"/>
      <c r="AJ372"/>
      <c r="AK372" s="6"/>
    </row>
    <row r="373" spans="2:37" x14ac:dyDescent="0.2">
      <c r="B373" s="1">
        <v>371.916</v>
      </c>
      <c r="C373" s="1">
        <v>-1.1335</v>
      </c>
      <c r="E373" s="1">
        <v>371.80399999999997</v>
      </c>
      <c r="F373" s="1">
        <v>-0.10299999999999999</v>
      </c>
      <c r="H373" s="1">
        <v>371.81099999999998</v>
      </c>
      <c r="I373" s="1">
        <v>0.3805</v>
      </c>
      <c r="J373" s="6"/>
      <c r="K373" s="1">
        <v>371.79700000000003</v>
      </c>
      <c r="L373" s="1">
        <v>-0.26250000000000001</v>
      </c>
      <c r="R373"/>
      <c r="S373" s="6"/>
      <c r="AA373"/>
      <c r="AB373" s="6"/>
      <c r="AJ373"/>
      <c r="AK373" s="6"/>
    </row>
    <row r="374" spans="2:37" x14ac:dyDescent="0.2">
      <c r="B374" s="1">
        <v>372.92399999999998</v>
      </c>
      <c r="C374" s="1">
        <v>-1.196</v>
      </c>
      <c r="E374" s="1">
        <v>372.80799999999999</v>
      </c>
      <c r="F374" s="1">
        <v>-9.6500000000000002E-2</v>
      </c>
      <c r="H374" s="1">
        <v>372.81700000000001</v>
      </c>
      <c r="I374" s="1">
        <v>0.38250000000000001</v>
      </c>
      <c r="J374" s="6"/>
      <c r="K374" s="1">
        <v>372.80399999999997</v>
      </c>
      <c r="L374" s="1">
        <v>-0.25950000000000001</v>
      </c>
      <c r="R374"/>
      <c r="S374" s="6"/>
      <c r="AA374"/>
      <c r="AB374" s="6"/>
      <c r="AJ374"/>
      <c r="AK374" s="6"/>
    </row>
    <row r="375" spans="2:37" x14ac:dyDescent="0.2">
      <c r="B375" s="1">
        <v>373.928</v>
      </c>
      <c r="C375" s="1">
        <v>-1.2609999999999999</v>
      </c>
      <c r="E375" s="1">
        <v>373.81400000000002</v>
      </c>
      <c r="F375" s="1">
        <v>-8.9499999999999996E-2</v>
      </c>
      <c r="H375" s="1">
        <v>373.827</v>
      </c>
      <c r="I375" s="1">
        <v>0.38650000000000001</v>
      </c>
      <c r="J375" s="6"/>
      <c r="K375" s="1">
        <v>373.81099999999998</v>
      </c>
      <c r="L375" s="1">
        <v>-0.2555</v>
      </c>
      <c r="R375"/>
      <c r="S375" s="6"/>
      <c r="AA375"/>
      <c r="AB375" s="6"/>
      <c r="AJ375"/>
      <c r="AK375" s="6"/>
    </row>
    <row r="376" spans="2:37" x14ac:dyDescent="0.2">
      <c r="B376" s="1">
        <v>374.93299999999999</v>
      </c>
      <c r="C376" s="1">
        <v>-1.3240000000000001</v>
      </c>
      <c r="E376" s="1">
        <v>374.81799999999998</v>
      </c>
      <c r="F376" s="1">
        <v>-7.9000000000000001E-2</v>
      </c>
      <c r="H376" s="1">
        <v>374.834</v>
      </c>
      <c r="I376" s="1">
        <v>0.38300000000000001</v>
      </c>
      <c r="J376" s="6"/>
      <c r="K376" s="1">
        <v>374.81700000000001</v>
      </c>
      <c r="L376" s="1">
        <v>-0.26100000000000001</v>
      </c>
      <c r="R376"/>
      <c r="S376" s="6"/>
      <c r="AA376"/>
      <c r="AB376" s="6"/>
      <c r="AJ376"/>
      <c r="AK376" s="6"/>
    </row>
    <row r="377" spans="2:37" x14ac:dyDescent="0.2">
      <c r="B377" s="1">
        <v>375.94</v>
      </c>
      <c r="C377" s="1">
        <v>-1.383</v>
      </c>
      <c r="E377" s="1">
        <v>375.82299999999998</v>
      </c>
      <c r="F377" s="1">
        <v>-8.0500000000000002E-2</v>
      </c>
      <c r="H377" s="1">
        <v>375.839</v>
      </c>
      <c r="I377" s="1">
        <v>0.38450000000000001</v>
      </c>
      <c r="J377" s="6"/>
      <c r="K377" s="1">
        <v>375.827</v>
      </c>
      <c r="L377" s="1">
        <v>-0.255</v>
      </c>
      <c r="R377"/>
      <c r="S377" s="6"/>
      <c r="AA377"/>
      <c r="AB377" s="6"/>
      <c r="AJ377"/>
      <c r="AK377" s="6"/>
    </row>
    <row r="378" spans="2:37" x14ac:dyDescent="0.2">
      <c r="B378" s="1">
        <v>376.94499999999999</v>
      </c>
      <c r="C378" s="1">
        <v>-1.4524999999999999</v>
      </c>
      <c r="E378" s="1">
        <v>376.82900000000001</v>
      </c>
      <c r="F378" s="1">
        <v>-7.2499999999999995E-2</v>
      </c>
      <c r="H378" s="1">
        <v>376.84300000000002</v>
      </c>
      <c r="I378" s="1">
        <v>0.39050000000000001</v>
      </c>
      <c r="J378" s="6"/>
      <c r="K378" s="1">
        <v>376.83199999999999</v>
      </c>
      <c r="L378" s="1">
        <v>-0.25750000000000001</v>
      </c>
      <c r="R378"/>
      <c r="S378" s="6"/>
      <c r="AA378"/>
      <c r="AB378" s="6"/>
      <c r="AJ378"/>
      <c r="AK378" s="6"/>
    </row>
    <row r="379" spans="2:37" x14ac:dyDescent="0.2">
      <c r="B379" s="1">
        <v>377.95299999999997</v>
      </c>
      <c r="C379" s="1">
        <v>-1.5149999999999999</v>
      </c>
      <c r="E379" s="1">
        <v>377.83600000000001</v>
      </c>
      <c r="F379" s="1">
        <v>-7.0000000000000007E-2</v>
      </c>
      <c r="H379" s="1">
        <v>377.84899999999999</v>
      </c>
      <c r="I379" s="1">
        <v>0.38150000000000001</v>
      </c>
      <c r="J379" s="6"/>
      <c r="K379" s="5"/>
      <c r="R379"/>
      <c r="S379" s="6"/>
      <c r="AA379"/>
      <c r="AB379" s="6"/>
      <c r="AJ379"/>
      <c r="AK379" s="6"/>
    </row>
    <row r="380" spans="2:37" x14ac:dyDescent="0.2">
      <c r="B380" s="1">
        <v>378.95800000000003</v>
      </c>
      <c r="C380" s="1">
        <v>-1.577</v>
      </c>
      <c r="E380" s="1">
        <v>378.84300000000002</v>
      </c>
      <c r="F380" s="1">
        <v>-6.0499999999999998E-2</v>
      </c>
      <c r="H380" s="1">
        <v>378.85399999999998</v>
      </c>
      <c r="I380" s="1">
        <v>0.3775</v>
      </c>
      <c r="J380" s="6"/>
      <c r="K380" s="5"/>
      <c r="R380"/>
      <c r="S380" s="6"/>
      <c r="AA380"/>
      <c r="AB380" s="6"/>
      <c r="AJ380"/>
      <c r="AK380" s="6"/>
    </row>
    <row r="381" spans="2:37" x14ac:dyDescent="0.2">
      <c r="B381" s="1">
        <v>379.96499999999997</v>
      </c>
      <c r="C381" s="1">
        <v>-1.6555</v>
      </c>
      <c r="E381" s="1">
        <v>379.84899999999999</v>
      </c>
      <c r="F381" s="1">
        <v>-0.06</v>
      </c>
      <c r="H381" s="1">
        <v>379.86</v>
      </c>
      <c r="I381" s="1">
        <v>0.3745</v>
      </c>
      <c r="J381" s="6"/>
      <c r="R381"/>
      <c r="S381" s="6"/>
      <c r="AA381"/>
      <c r="AB381" s="6"/>
      <c r="AJ381"/>
      <c r="AK381" s="6"/>
    </row>
    <row r="382" spans="2:37" x14ac:dyDescent="0.2">
      <c r="B382" s="1">
        <v>380.971</v>
      </c>
      <c r="C382" s="1">
        <v>-1.724</v>
      </c>
      <c r="E382" s="1">
        <v>380.85599999999999</v>
      </c>
      <c r="F382" s="1">
        <v>-4.9500000000000002E-2</v>
      </c>
      <c r="H382" s="1">
        <v>380.86500000000001</v>
      </c>
      <c r="I382" s="1">
        <v>0.3785</v>
      </c>
      <c r="J382" s="6"/>
      <c r="R382"/>
      <c r="S382" s="6"/>
      <c r="AA382"/>
      <c r="AB382" s="6"/>
      <c r="AJ382"/>
      <c r="AK382" s="6"/>
    </row>
    <row r="383" spans="2:37" x14ac:dyDescent="0.2">
      <c r="B383" s="1">
        <v>381.976</v>
      </c>
      <c r="C383" s="1">
        <v>-1.7815000000000001</v>
      </c>
      <c r="E383" s="1">
        <v>381.863</v>
      </c>
      <c r="F383" s="1">
        <v>-4.7E-2</v>
      </c>
      <c r="H383" s="1">
        <v>381.87400000000002</v>
      </c>
      <c r="I383" s="1">
        <v>0.36799999999999999</v>
      </c>
      <c r="J383" s="6"/>
      <c r="R383"/>
      <c r="S383" s="6"/>
      <c r="AA383"/>
      <c r="AB383" s="6"/>
      <c r="AJ383"/>
      <c r="AK383" s="6"/>
    </row>
    <row r="384" spans="2:37" x14ac:dyDescent="0.2">
      <c r="B384" s="1">
        <v>382.98099999999999</v>
      </c>
      <c r="C384" s="1">
        <v>-1.8380000000000001</v>
      </c>
      <c r="E384" s="1">
        <v>382.87</v>
      </c>
      <c r="F384" s="1">
        <v>-4.1000000000000002E-2</v>
      </c>
      <c r="H384" s="1">
        <v>382.88099999999997</v>
      </c>
      <c r="I384" s="1">
        <v>0.372</v>
      </c>
      <c r="J384" s="6"/>
      <c r="R384"/>
      <c r="S384" s="6"/>
      <c r="AA384"/>
      <c r="AB384" s="6"/>
      <c r="AJ384"/>
      <c r="AK384" s="6"/>
    </row>
    <row r="385" spans="2:37" x14ac:dyDescent="0.2">
      <c r="B385" s="1">
        <v>383.98700000000002</v>
      </c>
      <c r="C385" s="1">
        <v>-1.901</v>
      </c>
      <c r="E385" s="1">
        <v>383.87700000000001</v>
      </c>
      <c r="F385" s="1">
        <v>-3.7999999999999999E-2</v>
      </c>
      <c r="H385" s="1">
        <v>383.88799999999998</v>
      </c>
      <c r="I385" s="1">
        <v>0.36699999999999999</v>
      </c>
      <c r="J385" s="6"/>
      <c r="R385"/>
      <c r="S385" s="6"/>
      <c r="AA385"/>
      <c r="AB385" s="6"/>
      <c r="AJ385"/>
      <c r="AK385" s="6"/>
    </row>
    <row r="386" spans="2:37" x14ac:dyDescent="0.2">
      <c r="B386" s="1">
        <v>384.99299999999999</v>
      </c>
      <c r="C386" s="1">
        <v>-1.962</v>
      </c>
      <c r="E386" s="1">
        <v>384.88099999999997</v>
      </c>
      <c r="F386" s="1">
        <v>-3.3500000000000002E-2</v>
      </c>
      <c r="H386" s="1">
        <v>384.89499999999998</v>
      </c>
      <c r="I386" s="1">
        <v>0.36549999999999999</v>
      </c>
      <c r="J386" s="6"/>
      <c r="R386"/>
      <c r="S386" s="6"/>
      <c r="AA386"/>
      <c r="AB386" s="6"/>
      <c r="AJ386"/>
      <c r="AK386" s="6"/>
    </row>
    <row r="387" spans="2:37" x14ac:dyDescent="0.2">
      <c r="B387" s="1">
        <v>386</v>
      </c>
      <c r="C387" s="1">
        <v>-2.0345</v>
      </c>
      <c r="E387" s="1">
        <v>385.88799999999998</v>
      </c>
      <c r="F387" s="1">
        <v>-3.6499999999999998E-2</v>
      </c>
      <c r="H387" s="1">
        <v>385.90199999999999</v>
      </c>
      <c r="I387" s="1">
        <v>0.3715</v>
      </c>
      <c r="J387" s="6"/>
      <c r="R387"/>
      <c r="S387" s="6"/>
      <c r="AA387"/>
      <c r="AB387" s="6"/>
      <c r="AJ387"/>
      <c r="AK387" s="6"/>
    </row>
    <row r="388" spans="2:37" x14ac:dyDescent="0.2">
      <c r="B388" s="1">
        <v>387.00599999999997</v>
      </c>
      <c r="C388" s="1">
        <v>-2.1044999999999998</v>
      </c>
      <c r="E388" s="1">
        <v>386.89299999999997</v>
      </c>
      <c r="F388" s="1">
        <v>-2.6499999999999999E-2</v>
      </c>
      <c r="H388" s="1">
        <v>386.90499999999997</v>
      </c>
      <c r="I388" s="1">
        <v>0.3735</v>
      </c>
      <c r="J388" s="6"/>
      <c r="R388"/>
      <c r="S388" s="6"/>
      <c r="AA388"/>
      <c r="AB388" s="6"/>
      <c r="AJ388"/>
      <c r="AK388" s="6"/>
    </row>
    <row r="389" spans="2:37" x14ac:dyDescent="0.2">
      <c r="B389" s="1">
        <v>388.01299999999998</v>
      </c>
      <c r="C389" s="1">
        <v>-2.1724999999999999</v>
      </c>
      <c r="E389" s="1">
        <v>387.9</v>
      </c>
      <c r="F389" s="1">
        <v>-2.2499999999999999E-2</v>
      </c>
      <c r="H389" s="1">
        <v>387.90899999999999</v>
      </c>
      <c r="I389" s="1">
        <v>0.3725</v>
      </c>
      <c r="J389" s="6"/>
      <c r="R389"/>
      <c r="S389" s="6"/>
      <c r="AA389"/>
      <c r="AB389" s="6"/>
      <c r="AJ389"/>
      <c r="AK389" s="6"/>
    </row>
    <row r="390" spans="2:37" x14ac:dyDescent="0.2">
      <c r="B390" s="1">
        <v>389.02</v>
      </c>
      <c r="C390" s="1">
        <v>-2.238</v>
      </c>
      <c r="E390" s="1">
        <v>388.904</v>
      </c>
      <c r="F390" s="1">
        <v>-2.1999999999999999E-2</v>
      </c>
      <c r="H390" s="1">
        <v>388.91399999999999</v>
      </c>
      <c r="I390" s="1">
        <v>0.36449999999999999</v>
      </c>
      <c r="J390" s="6"/>
      <c r="R390"/>
      <c r="S390" s="6"/>
      <c r="AA390"/>
      <c r="AB390" s="6"/>
      <c r="AJ390"/>
      <c r="AK390" s="6"/>
    </row>
    <row r="391" spans="2:37" x14ac:dyDescent="0.2">
      <c r="B391" s="1">
        <v>390.02600000000001</v>
      </c>
      <c r="C391" s="1">
        <v>-2.3029999999999999</v>
      </c>
      <c r="E391" s="1">
        <v>389.91</v>
      </c>
      <c r="F391" s="1">
        <v>-2.1000000000000001E-2</v>
      </c>
      <c r="H391" s="1">
        <v>389.92</v>
      </c>
      <c r="I391" s="1">
        <v>0.35699999999999998</v>
      </c>
      <c r="J391" s="6"/>
      <c r="R391"/>
      <c r="S391" s="6"/>
      <c r="AA391"/>
      <c r="AB391" s="6"/>
      <c r="AJ391"/>
      <c r="AK391" s="6"/>
    </row>
    <row r="392" spans="2:37" x14ac:dyDescent="0.2">
      <c r="B392" s="1">
        <v>391.03</v>
      </c>
      <c r="C392" s="1">
        <v>-2.3654999999999999</v>
      </c>
      <c r="E392" s="1">
        <v>390.916</v>
      </c>
      <c r="F392" s="1">
        <v>-1.4E-2</v>
      </c>
      <c r="H392" s="1">
        <v>390.92399999999998</v>
      </c>
      <c r="I392" s="1">
        <v>0.35399999999999998</v>
      </c>
      <c r="J392" s="6"/>
      <c r="R392"/>
      <c r="S392" s="6"/>
      <c r="AA392"/>
      <c r="AB392" s="6"/>
      <c r="AJ392"/>
      <c r="AK392" s="6"/>
    </row>
    <row r="393" spans="2:37" x14ac:dyDescent="0.2">
      <c r="B393" s="1">
        <v>392.03699999999998</v>
      </c>
      <c r="C393" s="1">
        <v>-2.4375</v>
      </c>
      <c r="E393" s="1">
        <v>391.923</v>
      </c>
      <c r="F393" s="1">
        <v>-8.0000000000000002E-3</v>
      </c>
      <c r="H393" s="1">
        <v>391.93</v>
      </c>
      <c r="I393" s="1">
        <v>0.34599999999999997</v>
      </c>
      <c r="J393" s="6"/>
      <c r="R393"/>
      <c r="S393" s="6"/>
      <c r="AA393"/>
      <c r="AB393" s="6"/>
      <c r="AJ393"/>
      <c r="AK393" s="6"/>
    </row>
    <row r="394" spans="2:37" x14ac:dyDescent="0.2">
      <c r="B394" s="1">
        <v>393.04199999999997</v>
      </c>
      <c r="C394" s="1">
        <v>-2.4969999999999999</v>
      </c>
      <c r="E394" s="1">
        <v>392.92599999999999</v>
      </c>
      <c r="F394" s="1">
        <v>-7.0000000000000001E-3</v>
      </c>
      <c r="H394" s="1">
        <v>392.935</v>
      </c>
      <c r="I394" s="1">
        <v>0.34100000000000003</v>
      </c>
      <c r="J394" s="6"/>
      <c r="R394"/>
      <c r="S394" s="6"/>
      <c r="AA394"/>
      <c r="AB394" s="6"/>
      <c r="AJ394"/>
      <c r="AK394" s="6"/>
    </row>
    <row r="395" spans="2:37" x14ac:dyDescent="0.2">
      <c r="B395" s="1">
        <v>394.04500000000002</v>
      </c>
      <c r="C395" s="1">
        <v>-2.57</v>
      </c>
      <c r="E395" s="1">
        <v>393.92899999999997</v>
      </c>
      <c r="F395" s="1">
        <v>-2E-3</v>
      </c>
      <c r="H395" s="1">
        <v>393.93900000000002</v>
      </c>
      <c r="I395" s="1">
        <v>0.33300000000000002</v>
      </c>
      <c r="J395" s="6"/>
      <c r="R395"/>
      <c r="S395" s="6"/>
      <c r="AA395"/>
      <c r="AB395" s="6"/>
      <c r="AJ395"/>
      <c r="AK395" s="6"/>
    </row>
    <row r="396" spans="2:37" x14ac:dyDescent="0.2">
      <c r="B396" s="1">
        <v>395.05099999999999</v>
      </c>
      <c r="C396" s="1">
        <v>-2.6379999999999999</v>
      </c>
      <c r="E396" s="1">
        <v>394.93299999999999</v>
      </c>
      <c r="F396" s="1">
        <v>-2E-3</v>
      </c>
      <c r="H396" s="1">
        <v>394.94400000000002</v>
      </c>
      <c r="I396" s="1">
        <v>0.33</v>
      </c>
      <c r="J396" s="6"/>
      <c r="R396"/>
      <c r="S396" s="6"/>
      <c r="AA396"/>
      <c r="AB396" s="6"/>
      <c r="AJ396"/>
      <c r="AK396" s="6"/>
    </row>
    <row r="397" spans="2:37" x14ac:dyDescent="0.2">
      <c r="B397" s="1">
        <v>396.05500000000001</v>
      </c>
      <c r="C397" s="1">
        <v>-2.7</v>
      </c>
      <c r="E397" s="1">
        <v>395.93599999999998</v>
      </c>
      <c r="F397" s="1">
        <v>-1E-3</v>
      </c>
      <c r="H397" s="1">
        <v>395.94900000000001</v>
      </c>
      <c r="I397" s="1">
        <v>0.32700000000000001</v>
      </c>
      <c r="J397" s="6"/>
      <c r="R397"/>
      <c r="S397" s="6"/>
      <c r="AA397"/>
      <c r="AB397" s="6"/>
      <c r="AJ397"/>
      <c r="AK397" s="6"/>
    </row>
    <row r="398" spans="2:37" x14ac:dyDescent="0.2">
      <c r="B398" s="1">
        <v>397.06</v>
      </c>
      <c r="C398" s="1">
        <v>-2.774</v>
      </c>
      <c r="E398" s="1">
        <v>396.94200000000001</v>
      </c>
      <c r="F398" s="1">
        <v>3.5000000000000001E-3</v>
      </c>
      <c r="H398" s="1">
        <v>396.95499999999998</v>
      </c>
      <c r="I398" s="1">
        <v>0.32300000000000001</v>
      </c>
      <c r="J398" s="6"/>
      <c r="R398"/>
      <c r="S398" s="6"/>
      <c r="AA398"/>
      <c r="AB398" s="6"/>
      <c r="AJ398"/>
      <c r="AK398" s="6"/>
    </row>
    <row r="399" spans="2:37" x14ac:dyDescent="0.2">
      <c r="B399" s="1">
        <v>398.065</v>
      </c>
      <c r="C399" s="1">
        <v>-2.8315000000000001</v>
      </c>
      <c r="E399" s="1">
        <v>397.947</v>
      </c>
      <c r="F399" s="1">
        <v>4.4999999999999997E-3</v>
      </c>
      <c r="H399" s="1">
        <v>397.96199999999999</v>
      </c>
      <c r="I399" s="1">
        <v>0.31900000000000001</v>
      </c>
      <c r="J399" s="6"/>
      <c r="R399"/>
      <c r="S399" s="6"/>
      <c r="AA399"/>
      <c r="AB399" s="6"/>
      <c r="AJ399"/>
      <c r="AK399" s="6"/>
    </row>
    <row r="400" spans="2:37" x14ac:dyDescent="0.2">
      <c r="B400" s="1">
        <v>399.07299999999998</v>
      </c>
      <c r="C400" s="1">
        <v>-2.9020000000000001</v>
      </c>
      <c r="E400" s="1">
        <v>398.95299999999997</v>
      </c>
      <c r="F400" s="1">
        <v>7.0000000000000001E-3</v>
      </c>
      <c r="H400" s="1">
        <v>398.96899999999999</v>
      </c>
      <c r="I400" s="1">
        <v>0.3165</v>
      </c>
      <c r="J400" s="6"/>
      <c r="R400"/>
      <c r="S400" s="6"/>
      <c r="AA400"/>
      <c r="AB400" s="6"/>
      <c r="AJ400"/>
      <c r="AK400" s="6"/>
    </row>
    <row r="401" spans="2:37" x14ac:dyDescent="0.2">
      <c r="B401" s="1">
        <v>400.07799999999997</v>
      </c>
      <c r="C401" s="1">
        <v>-2.9710000000000001</v>
      </c>
      <c r="E401" s="1">
        <v>399.95800000000003</v>
      </c>
      <c r="F401" s="1">
        <v>1.2E-2</v>
      </c>
      <c r="H401" s="1">
        <v>399.97399999999999</v>
      </c>
      <c r="I401" s="1">
        <v>0.308</v>
      </c>
      <c r="J401" s="6"/>
      <c r="R401"/>
      <c r="S401" s="6"/>
      <c r="AA401"/>
      <c r="AB401" s="6"/>
      <c r="AJ401"/>
      <c r="AK401" s="6"/>
    </row>
    <row r="402" spans="2:37" x14ac:dyDescent="0.2">
      <c r="B402" s="1">
        <v>401.08300000000003</v>
      </c>
      <c r="C402" s="1">
        <v>-3.0390000000000001</v>
      </c>
      <c r="E402" s="1">
        <v>400.964</v>
      </c>
      <c r="F402" s="1">
        <v>7.0000000000000001E-3</v>
      </c>
      <c r="H402" s="1">
        <v>400.98099999999999</v>
      </c>
      <c r="I402" s="1">
        <v>0.308</v>
      </c>
      <c r="J402" s="6"/>
      <c r="R402"/>
      <c r="S402" s="6"/>
      <c r="AA402"/>
      <c r="AB402" s="6"/>
      <c r="AJ402"/>
      <c r="AK402" s="6"/>
    </row>
    <row r="403" spans="2:37" x14ac:dyDescent="0.2">
      <c r="B403" s="1">
        <v>402.09100000000001</v>
      </c>
      <c r="C403" s="1">
        <v>-3.1080000000000001</v>
      </c>
      <c r="E403" s="1">
        <v>401.97199999999998</v>
      </c>
      <c r="F403" s="1">
        <v>1.2500000000000001E-2</v>
      </c>
      <c r="H403" s="1">
        <v>401.99</v>
      </c>
      <c r="I403" s="1">
        <v>0.3115</v>
      </c>
      <c r="J403" s="6"/>
      <c r="R403"/>
      <c r="S403" s="6"/>
      <c r="AA403"/>
      <c r="AB403" s="6"/>
      <c r="AJ403"/>
      <c r="AK403" s="6"/>
    </row>
    <row r="404" spans="2:37" x14ac:dyDescent="0.2">
      <c r="B404" s="1">
        <v>403.096</v>
      </c>
      <c r="C404" s="1">
        <v>-3.1705000000000001</v>
      </c>
      <c r="E404" s="1">
        <v>402.97500000000002</v>
      </c>
      <c r="F404" s="1">
        <v>1.4500000000000001E-2</v>
      </c>
      <c r="H404" s="1">
        <v>402.995</v>
      </c>
      <c r="I404" s="1">
        <v>0.30649999999999999</v>
      </c>
      <c r="J404" s="6"/>
      <c r="R404"/>
      <c r="S404" s="6"/>
      <c r="AA404"/>
      <c r="AB404" s="6"/>
      <c r="AJ404"/>
      <c r="AK404" s="6"/>
    </row>
    <row r="405" spans="2:37" x14ac:dyDescent="0.2">
      <c r="B405" s="1">
        <v>404.10399999999998</v>
      </c>
      <c r="C405" s="1">
        <v>-3.2334999999999998</v>
      </c>
      <c r="E405" s="1">
        <v>403.98</v>
      </c>
      <c r="F405" s="1">
        <v>1.2E-2</v>
      </c>
      <c r="H405" s="1">
        <v>404.00099999999998</v>
      </c>
      <c r="I405" s="1">
        <v>0.31</v>
      </c>
      <c r="J405" s="6"/>
      <c r="R405"/>
      <c r="S405" s="6"/>
      <c r="AA405"/>
      <c r="AB405" s="6"/>
      <c r="AJ405"/>
      <c r="AK405" s="6"/>
    </row>
    <row r="406" spans="2:37" x14ac:dyDescent="0.2">
      <c r="B406" s="1">
        <v>405.11</v>
      </c>
      <c r="C406" s="1">
        <v>-3.3039999999999998</v>
      </c>
      <c r="E406" s="1">
        <v>404.98399999999998</v>
      </c>
      <c r="F406" s="1">
        <v>1.2500000000000001E-2</v>
      </c>
      <c r="H406" s="1">
        <v>405.005</v>
      </c>
      <c r="I406" s="1">
        <v>0.3105</v>
      </c>
      <c r="J406" s="6"/>
      <c r="R406"/>
      <c r="S406" s="6"/>
      <c r="AA406"/>
      <c r="AB406" s="6"/>
      <c r="AJ406"/>
      <c r="AK406" s="6"/>
    </row>
    <row r="407" spans="2:37" x14ac:dyDescent="0.2">
      <c r="B407" s="1">
        <v>406.11700000000002</v>
      </c>
      <c r="C407" s="1">
        <v>-3.3730000000000002</v>
      </c>
      <c r="E407" s="1">
        <v>405.99</v>
      </c>
      <c r="F407" s="1">
        <v>8.5000000000000006E-3</v>
      </c>
      <c r="H407" s="1">
        <v>406.00900000000001</v>
      </c>
      <c r="I407" s="1">
        <v>0.3095</v>
      </c>
      <c r="J407" s="6"/>
      <c r="R407"/>
      <c r="S407" s="6"/>
      <c r="AA407"/>
      <c r="AB407" s="6"/>
      <c r="AJ407"/>
      <c r="AK407" s="6"/>
    </row>
    <row r="408" spans="2:37" x14ac:dyDescent="0.2">
      <c r="B408" s="1">
        <v>407.125</v>
      </c>
      <c r="C408" s="1">
        <v>-3.4434999999999998</v>
      </c>
      <c r="E408" s="1">
        <v>406.99400000000003</v>
      </c>
      <c r="F408" s="1">
        <v>1.4999999999999999E-2</v>
      </c>
      <c r="H408" s="1">
        <v>407.01400000000001</v>
      </c>
      <c r="I408" s="1">
        <v>0.30599999999999999</v>
      </c>
      <c r="J408" s="6"/>
      <c r="R408"/>
      <c r="S408" s="6"/>
      <c r="AA408"/>
      <c r="AB408" s="6"/>
      <c r="AJ408"/>
      <c r="AK408" s="6"/>
    </row>
    <row r="409" spans="2:37" x14ac:dyDescent="0.2">
      <c r="B409" s="1">
        <v>408.13099999999997</v>
      </c>
      <c r="C409" s="1">
        <v>-3.5070000000000001</v>
      </c>
      <c r="E409" s="1">
        <v>408.00200000000001</v>
      </c>
      <c r="F409" s="1">
        <v>1.4999999999999999E-2</v>
      </c>
      <c r="H409" s="1">
        <v>408.02</v>
      </c>
      <c r="I409" s="1">
        <v>0.30599999999999999</v>
      </c>
      <c r="J409" s="6"/>
      <c r="R409"/>
      <c r="S409" s="6"/>
      <c r="AA409"/>
      <c r="AB409" s="6"/>
      <c r="AJ409"/>
      <c r="AK409" s="6"/>
    </row>
    <row r="410" spans="2:37" x14ac:dyDescent="0.2">
      <c r="B410" s="1">
        <v>409.13600000000002</v>
      </c>
      <c r="C410" s="1">
        <v>-3.5590000000000002</v>
      </c>
      <c r="E410" s="1">
        <v>409.00900000000001</v>
      </c>
      <c r="F410" s="1">
        <v>1.9E-2</v>
      </c>
      <c r="H410" s="1">
        <v>409.024</v>
      </c>
      <c r="I410" s="1">
        <v>0.311</v>
      </c>
      <c r="J410" s="6"/>
      <c r="R410"/>
      <c r="S410" s="6"/>
      <c r="AA410"/>
      <c r="AB410" s="6"/>
      <c r="AJ410"/>
      <c r="AK410" s="6"/>
    </row>
    <row r="411" spans="2:37" x14ac:dyDescent="0.2">
      <c r="B411" s="1">
        <v>410.14100000000002</v>
      </c>
      <c r="C411" s="1">
        <v>-3.6305000000000001</v>
      </c>
      <c r="E411" s="1">
        <v>410.01600000000002</v>
      </c>
      <c r="F411" s="1">
        <v>1.7500000000000002E-2</v>
      </c>
      <c r="H411" s="1">
        <v>410.029</v>
      </c>
      <c r="I411" s="1">
        <v>0.30349999999999999</v>
      </c>
      <c r="J411" s="6"/>
      <c r="R411"/>
      <c r="S411" s="6"/>
      <c r="AA411"/>
      <c r="AB411" s="6"/>
      <c r="AJ411"/>
      <c r="AK411" s="6"/>
    </row>
    <row r="412" spans="2:37" x14ac:dyDescent="0.2">
      <c r="B412" s="1">
        <v>411.149</v>
      </c>
      <c r="C412" s="1">
        <v>-3.6829999999999998</v>
      </c>
      <c r="E412" s="1">
        <v>411.02300000000002</v>
      </c>
      <c r="F412" s="1">
        <v>0.02</v>
      </c>
      <c r="H412" s="1">
        <v>411.03500000000003</v>
      </c>
      <c r="I412" s="1">
        <v>0.30049999999999999</v>
      </c>
      <c r="J412" s="6"/>
      <c r="R412"/>
      <c r="S412" s="6"/>
      <c r="AA412"/>
      <c r="AB412" s="6"/>
      <c r="AJ412"/>
      <c r="AK412" s="6"/>
    </row>
    <row r="413" spans="2:37" x14ac:dyDescent="0.2">
      <c r="B413" s="1">
        <v>412.15499999999997</v>
      </c>
      <c r="C413" s="1">
        <v>-3.7465000000000002</v>
      </c>
      <c r="E413" s="1">
        <v>412.02699999999999</v>
      </c>
      <c r="F413" s="1">
        <v>1.7500000000000002E-2</v>
      </c>
      <c r="H413" s="1">
        <v>412.04</v>
      </c>
      <c r="I413" s="1">
        <v>0.29599999999999999</v>
      </c>
      <c r="J413" s="6"/>
      <c r="R413"/>
      <c r="S413" s="6"/>
      <c r="AA413"/>
      <c r="AB413" s="6"/>
      <c r="AJ413"/>
      <c r="AK413" s="6"/>
    </row>
    <row r="414" spans="2:37" x14ac:dyDescent="0.2">
      <c r="B414" s="1">
        <v>413.15899999999999</v>
      </c>
      <c r="C414" s="1">
        <v>-3.8109999999999999</v>
      </c>
      <c r="E414" s="1">
        <v>413.03300000000002</v>
      </c>
      <c r="F414" s="1">
        <v>1.4999999999999999E-2</v>
      </c>
      <c r="H414" s="1">
        <v>413.04500000000002</v>
      </c>
      <c r="I414" s="1">
        <v>0.3</v>
      </c>
      <c r="J414" s="6"/>
      <c r="R414"/>
      <c r="S414" s="6"/>
      <c r="AA414"/>
      <c r="AB414" s="6"/>
      <c r="AJ414"/>
      <c r="AK414" s="6"/>
    </row>
    <row r="415" spans="2:37" x14ac:dyDescent="0.2">
      <c r="B415" s="1">
        <v>414.16399999999999</v>
      </c>
      <c r="C415" s="1">
        <v>-3.8774999999999999</v>
      </c>
      <c r="E415" s="1">
        <v>414.03899999999999</v>
      </c>
      <c r="F415" s="1">
        <v>1.6E-2</v>
      </c>
      <c r="H415" s="1">
        <v>414.04899999999998</v>
      </c>
      <c r="I415" s="1">
        <v>0.29099999999999998</v>
      </c>
      <c r="J415" s="6"/>
      <c r="R415"/>
      <c r="S415" s="6"/>
      <c r="AA415"/>
      <c r="AB415" s="6"/>
      <c r="AJ415"/>
      <c r="AK415" s="6"/>
    </row>
    <row r="416" spans="2:37" x14ac:dyDescent="0.2">
      <c r="B416" s="1">
        <v>415.17200000000003</v>
      </c>
      <c r="C416" s="1">
        <v>-3.9315000000000002</v>
      </c>
      <c r="E416" s="1">
        <v>415.04500000000002</v>
      </c>
      <c r="F416" s="1">
        <v>2.0500000000000001E-2</v>
      </c>
      <c r="H416" s="1">
        <v>415.05500000000001</v>
      </c>
      <c r="I416" s="1">
        <v>0.29749999999999999</v>
      </c>
      <c r="J416" s="6"/>
      <c r="R416"/>
      <c r="S416" s="6"/>
      <c r="AA416"/>
      <c r="AB416" s="6"/>
      <c r="AJ416"/>
      <c r="AK416" s="6"/>
    </row>
    <row r="417" spans="2:37" x14ac:dyDescent="0.2">
      <c r="B417" s="1">
        <v>416.17700000000002</v>
      </c>
      <c r="C417" s="1">
        <v>-4</v>
      </c>
      <c r="E417" s="1">
        <v>416.048</v>
      </c>
      <c r="F417" s="1">
        <v>2.4500000000000001E-2</v>
      </c>
      <c r="H417" s="1">
        <v>416.06099999999998</v>
      </c>
      <c r="I417" s="1">
        <v>0.29749999999999999</v>
      </c>
      <c r="J417" s="6"/>
      <c r="R417"/>
      <c r="S417" s="6"/>
      <c r="AA417"/>
      <c r="AB417" s="6"/>
      <c r="AJ417"/>
      <c r="AK417" s="6"/>
    </row>
    <row r="418" spans="2:37" x14ac:dyDescent="0.2">
      <c r="B418" s="1">
        <v>417.18200000000002</v>
      </c>
      <c r="C418" s="1">
        <v>-4.0670000000000002</v>
      </c>
      <c r="E418" s="1">
        <v>417.05200000000002</v>
      </c>
      <c r="F418" s="1">
        <v>2.3E-2</v>
      </c>
      <c r="H418" s="1">
        <v>417.06900000000002</v>
      </c>
      <c r="I418" s="1">
        <v>0.29249999999999998</v>
      </c>
      <c r="J418" s="6"/>
      <c r="R418"/>
      <c r="S418" s="6"/>
      <c r="AA418"/>
      <c r="AB418" s="6"/>
      <c r="AJ418"/>
      <c r="AK418" s="6"/>
    </row>
    <row r="419" spans="2:37" x14ac:dyDescent="0.2">
      <c r="B419" s="1">
        <v>418.18799999999999</v>
      </c>
      <c r="C419" s="1">
        <v>-4.1319999999999997</v>
      </c>
      <c r="E419" s="1">
        <v>418.05700000000002</v>
      </c>
      <c r="F419" s="1">
        <v>1.9E-2</v>
      </c>
      <c r="H419" s="1">
        <v>418.07600000000002</v>
      </c>
      <c r="I419" s="1">
        <v>0.28399999999999997</v>
      </c>
      <c r="J419" s="6"/>
      <c r="R419"/>
      <c r="S419" s="6"/>
      <c r="AA419"/>
      <c r="AB419" s="6"/>
      <c r="AJ419"/>
      <c r="AK419" s="6"/>
    </row>
    <row r="420" spans="2:37" x14ac:dyDescent="0.2">
      <c r="B420" s="1">
        <v>419.19499999999999</v>
      </c>
      <c r="C420" s="1">
        <v>-4.2054999999999998</v>
      </c>
      <c r="E420" s="1">
        <v>419.06299999999999</v>
      </c>
      <c r="F420" s="1">
        <v>1.7999999999999999E-2</v>
      </c>
      <c r="H420" s="1">
        <v>419.08100000000002</v>
      </c>
      <c r="I420" s="1">
        <v>0.27850000000000003</v>
      </c>
      <c r="J420" s="6"/>
      <c r="R420"/>
      <c r="S420" s="6"/>
      <c r="AA420"/>
      <c r="AB420" s="6"/>
      <c r="AJ420"/>
      <c r="AK420" s="6"/>
    </row>
    <row r="421" spans="2:37" x14ac:dyDescent="0.2">
      <c r="B421" s="1">
        <v>420.20100000000002</v>
      </c>
      <c r="C421" s="1">
        <v>-4.2655000000000003</v>
      </c>
      <c r="E421" s="1">
        <v>420.06700000000001</v>
      </c>
      <c r="F421" s="1">
        <v>2.7E-2</v>
      </c>
      <c r="H421" s="1">
        <v>420.08499999999998</v>
      </c>
      <c r="I421" s="1">
        <v>0.27400000000000002</v>
      </c>
      <c r="J421" s="6"/>
      <c r="R421"/>
      <c r="S421" s="6"/>
      <c r="AA421"/>
      <c r="AB421" s="6"/>
      <c r="AJ421"/>
      <c r="AK421" s="6"/>
    </row>
    <row r="422" spans="2:37" x14ac:dyDescent="0.2">
      <c r="B422" s="1">
        <v>421.20699999999999</v>
      </c>
      <c r="C422" s="1">
        <v>-4.3265000000000002</v>
      </c>
      <c r="E422" s="1">
        <v>421.072</v>
      </c>
      <c r="F422" s="1">
        <v>1.9E-2</v>
      </c>
      <c r="H422" s="1">
        <v>421.09</v>
      </c>
      <c r="I422" s="1">
        <v>0.26200000000000001</v>
      </c>
      <c r="J422" s="6"/>
      <c r="R422"/>
      <c r="S422" s="6"/>
      <c r="AA422"/>
      <c r="AB422" s="6"/>
      <c r="AJ422"/>
      <c r="AK422" s="6"/>
    </row>
    <row r="423" spans="2:37" x14ac:dyDescent="0.2">
      <c r="B423" s="1">
        <v>422.21499999999997</v>
      </c>
      <c r="C423" s="1">
        <v>-4.3864999999999998</v>
      </c>
      <c r="E423" s="1">
        <v>422.07799999999997</v>
      </c>
      <c r="F423" s="1">
        <v>0.02</v>
      </c>
      <c r="H423" s="1">
        <v>422.096</v>
      </c>
      <c r="I423" s="1">
        <v>0.25750000000000001</v>
      </c>
      <c r="J423" s="6"/>
      <c r="R423"/>
      <c r="S423" s="6"/>
      <c r="AA423"/>
      <c r="AB423" s="6"/>
      <c r="AJ423"/>
      <c r="AK423" s="6"/>
    </row>
    <row r="424" spans="2:37" x14ac:dyDescent="0.2">
      <c r="B424" s="1">
        <v>423.22</v>
      </c>
      <c r="C424" s="1">
        <v>-4.4429999999999996</v>
      </c>
      <c r="E424" s="1">
        <v>423.08699999999999</v>
      </c>
      <c r="F424" s="1">
        <v>2.75E-2</v>
      </c>
      <c r="H424" s="1">
        <v>423.10300000000001</v>
      </c>
      <c r="I424" s="1">
        <v>0.248</v>
      </c>
      <c r="J424" s="6"/>
      <c r="R424"/>
      <c r="S424" s="6"/>
      <c r="AA424"/>
      <c r="AB424" s="6"/>
      <c r="AJ424"/>
      <c r="AK424" s="6"/>
    </row>
    <row r="425" spans="2:37" x14ac:dyDescent="0.2">
      <c r="B425" s="1">
        <v>424.22500000000002</v>
      </c>
      <c r="C425" s="1">
        <v>-4.5030000000000001</v>
      </c>
      <c r="E425" s="1">
        <v>424.09399999999999</v>
      </c>
      <c r="F425" s="1">
        <v>3.0499999999999999E-2</v>
      </c>
      <c r="H425" s="1">
        <v>424.11</v>
      </c>
      <c r="I425" s="1">
        <v>0.23449999999999999</v>
      </c>
      <c r="J425" s="6"/>
      <c r="R425"/>
      <c r="S425" s="6"/>
      <c r="AA425"/>
      <c r="AB425" s="6"/>
      <c r="AJ425"/>
      <c r="AK425" s="6"/>
    </row>
    <row r="426" spans="2:37" x14ac:dyDescent="0.2">
      <c r="B426" s="1">
        <v>425.22899999999998</v>
      </c>
      <c r="C426" s="1">
        <v>-4.5609999999999999</v>
      </c>
      <c r="E426" s="1">
        <v>425.09800000000001</v>
      </c>
      <c r="F426" s="1">
        <v>0.03</v>
      </c>
      <c r="H426" s="1">
        <v>425.11500000000001</v>
      </c>
      <c r="I426" s="1">
        <v>0.22750000000000001</v>
      </c>
      <c r="J426" s="6"/>
      <c r="R426"/>
      <c r="S426" s="6"/>
      <c r="AA426"/>
      <c r="AB426" s="6"/>
      <c r="AJ426"/>
      <c r="AK426" s="6"/>
    </row>
    <row r="427" spans="2:37" x14ac:dyDescent="0.2">
      <c r="B427" s="1">
        <v>426.23599999999999</v>
      </c>
      <c r="C427" s="1">
        <v>-4.6360000000000001</v>
      </c>
      <c r="E427" s="1">
        <v>426.10199999999998</v>
      </c>
      <c r="F427" s="1">
        <v>3.3000000000000002E-2</v>
      </c>
      <c r="H427" s="1">
        <v>426.12</v>
      </c>
      <c r="I427" s="1">
        <v>0.22800000000000001</v>
      </c>
      <c r="J427" s="6"/>
      <c r="R427"/>
      <c r="S427" s="6"/>
      <c r="AA427"/>
      <c r="AB427" s="6"/>
      <c r="AJ427"/>
      <c r="AK427" s="6"/>
    </row>
    <row r="428" spans="2:37" x14ac:dyDescent="0.2">
      <c r="B428" s="1">
        <v>427.245</v>
      </c>
      <c r="C428" s="1">
        <v>-4.6935000000000002</v>
      </c>
      <c r="E428" s="1">
        <v>427.10899999999998</v>
      </c>
      <c r="F428" s="1">
        <v>3.6499999999999998E-2</v>
      </c>
      <c r="H428" s="1">
        <v>427.12400000000002</v>
      </c>
      <c r="I428" s="1">
        <v>0.2235</v>
      </c>
      <c r="J428" s="6"/>
      <c r="R428"/>
      <c r="S428" s="6"/>
      <c r="AA428"/>
      <c r="AB428" s="6"/>
      <c r="AJ428"/>
      <c r="AK428" s="6"/>
    </row>
    <row r="429" spans="2:37" x14ac:dyDescent="0.2">
      <c r="B429" s="1">
        <v>428.25099999999998</v>
      </c>
      <c r="C429" s="1">
        <v>-4.7640000000000002</v>
      </c>
      <c r="E429" s="1">
        <v>428.11500000000001</v>
      </c>
      <c r="F429" s="1">
        <v>3.6999999999999998E-2</v>
      </c>
      <c r="H429" s="1">
        <v>428.13</v>
      </c>
      <c r="I429" s="1">
        <v>0.22</v>
      </c>
      <c r="J429" s="6"/>
      <c r="R429"/>
      <c r="S429" s="6"/>
      <c r="AA429"/>
      <c r="AB429" s="6"/>
      <c r="AJ429"/>
      <c r="AK429" s="6"/>
    </row>
    <row r="430" spans="2:37" x14ac:dyDescent="0.2">
      <c r="B430" s="1">
        <v>429.25700000000001</v>
      </c>
      <c r="C430" s="1">
        <v>-4.8289999999999997</v>
      </c>
      <c r="E430" s="1">
        <v>429.12299999999999</v>
      </c>
      <c r="F430" s="1">
        <v>4.0500000000000001E-2</v>
      </c>
      <c r="H430" s="1">
        <v>429.13600000000002</v>
      </c>
      <c r="I430" s="1">
        <v>0.21149999999999999</v>
      </c>
      <c r="J430" s="6"/>
      <c r="R430"/>
      <c r="S430" s="6"/>
      <c r="AA430"/>
      <c r="AB430" s="6"/>
      <c r="AJ430"/>
      <c r="AK430" s="6"/>
    </row>
    <row r="431" spans="2:37" x14ac:dyDescent="0.2">
      <c r="B431" s="1">
        <v>430.26100000000002</v>
      </c>
      <c r="C431" s="1">
        <v>-4.8860000000000001</v>
      </c>
      <c r="E431" s="1">
        <v>430.12900000000002</v>
      </c>
      <c r="F431" s="1">
        <v>3.6999999999999998E-2</v>
      </c>
      <c r="H431" s="1">
        <v>430.14299999999997</v>
      </c>
      <c r="I431" s="1">
        <v>0.20449999999999999</v>
      </c>
      <c r="J431" s="6"/>
      <c r="R431"/>
      <c r="S431" s="6"/>
      <c r="AA431"/>
      <c r="AB431" s="6"/>
      <c r="AJ431"/>
      <c r="AK431" s="6"/>
    </row>
    <row r="432" spans="2:37" x14ac:dyDescent="0.2">
      <c r="B432" s="1">
        <v>431.26600000000002</v>
      </c>
      <c r="C432" s="1">
        <v>-4.9385000000000003</v>
      </c>
      <c r="E432" s="1">
        <v>431.13299999999998</v>
      </c>
      <c r="F432" s="1">
        <v>4.3999999999999997E-2</v>
      </c>
      <c r="H432" s="1">
        <v>431.15</v>
      </c>
      <c r="I432" s="1">
        <v>0.19800000000000001</v>
      </c>
      <c r="J432" s="6"/>
      <c r="R432"/>
      <c r="S432" s="6"/>
      <c r="AA432"/>
      <c r="AB432" s="6"/>
      <c r="AJ432"/>
      <c r="AK432" s="6"/>
    </row>
    <row r="433" spans="2:37" x14ac:dyDescent="0.2">
      <c r="B433" s="1">
        <v>432.27100000000002</v>
      </c>
      <c r="C433" s="1">
        <v>-4.9935</v>
      </c>
      <c r="E433" s="1">
        <v>432.13799999999998</v>
      </c>
      <c r="F433" s="1">
        <v>4.3499999999999997E-2</v>
      </c>
      <c r="H433" s="1">
        <v>432.154</v>
      </c>
      <c r="I433" s="1">
        <v>0.20050000000000001</v>
      </c>
      <c r="J433" s="6"/>
      <c r="R433"/>
      <c r="S433" s="6"/>
      <c r="AA433"/>
      <c r="AB433" s="6"/>
      <c r="AJ433"/>
      <c r="AK433" s="6"/>
    </row>
    <row r="434" spans="2:37" x14ac:dyDescent="0.2">
      <c r="B434" s="1">
        <v>433.27600000000001</v>
      </c>
      <c r="C434" s="1">
        <v>-5.0495000000000001</v>
      </c>
      <c r="E434" s="1">
        <v>433.142</v>
      </c>
      <c r="F434" s="1">
        <v>4.4999999999999998E-2</v>
      </c>
      <c r="H434" s="1">
        <v>433.15899999999999</v>
      </c>
      <c r="I434" s="1">
        <v>0.1925</v>
      </c>
      <c r="J434" s="6"/>
      <c r="R434"/>
      <c r="S434" s="6"/>
      <c r="AA434"/>
      <c r="AB434" s="6"/>
      <c r="AJ434"/>
      <c r="AK434" s="6"/>
    </row>
    <row r="435" spans="2:37" x14ac:dyDescent="0.2">
      <c r="B435" s="1">
        <v>434.28</v>
      </c>
      <c r="C435" s="1">
        <v>-5.1325000000000003</v>
      </c>
      <c r="E435" s="1">
        <v>434.149</v>
      </c>
      <c r="F435" s="1">
        <v>5.45E-2</v>
      </c>
      <c r="H435" s="1">
        <v>434.16399999999999</v>
      </c>
      <c r="I435" s="1">
        <v>0.193</v>
      </c>
      <c r="J435" s="6"/>
      <c r="R435"/>
      <c r="S435" s="6"/>
      <c r="AA435"/>
      <c r="AB435" s="6"/>
      <c r="AJ435"/>
      <c r="AK435" s="6"/>
    </row>
    <row r="436" spans="2:37" x14ac:dyDescent="0.2">
      <c r="B436" s="1">
        <v>435.286</v>
      </c>
      <c r="C436" s="1">
        <v>-5.1970000000000001</v>
      </c>
      <c r="E436" s="1">
        <v>435.154</v>
      </c>
      <c r="F436" s="1">
        <v>5.1499999999999997E-2</v>
      </c>
      <c r="H436" s="1">
        <v>435.17</v>
      </c>
      <c r="I436" s="1">
        <v>0.187</v>
      </c>
      <c r="J436" s="6"/>
      <c r="R436"/>
      <c r="S436" s="6"/>
      <c r="AA436"/>
      <c r="AB436" s="6"/>
      <c r="AJ436"/>
      <c r="AK436" s="6"/>
    </row>
    <row r="437" spans="2:37" x14ac:dyDescent="0.2">
      <c r="B437" s="1">
        <v>436.29</v>
      </c>
      <c r="C437" s="1">
        <v>-5.2605000000000004</v>
      </c>
      <c r="E437" s="1">
        <v>436.16300000000001</v>
      </c>
      <c r="F437" s="1">
        <v>4.7E-2</v>
      </c>
      <c r="I437"/>
      <c r="J437" s="6"/>
      <c r="R437"/>
      <c r="S437" s="6"/>
      <c r="AA437"/>
      <c r="AB437" s="6"/>
      <c r="AJ437"/>
      <c r="AK437" s="6"/>
    </row>
    <row r="438" spans="2:37" x14ac:dyDescent="0.2">
      <c r="B438" s="1">
        <v>437.29399999999998</v>
      </c>
      <c r="C438" s="1">
        <v>-5.3185000000000002</v>
      </c>
      <c r="E438" s="1">
        <v>437.16800000000001</v>
      </c>
      <c r="F438" s="1">
        <v>4.9000000000000002E-2</v>
      </c>
      <c r="I438"/>
      <c r="J438" s="6"/>
      <c r="R438"/>
      <c r="S438" s="6"/>
      <c r="AA438"/>
      <c r="AB438" s="6"/>
      <c r="AJ438"/>
      <c r="AK438" s="6"/>
    </row>
    <row r="439" spans="2:37" x14ac:dyDescent="0.2">
      <c r="B439" s="1">
        <v>438.3</v>
      </c>
      <c r="C439" s="1">
        <v>-5.3775000000000004</v>
      </c>
      <c r="E439" s="1">
        <v>438.17700000000002</v>
      </c>
      <c r="F439" s="1">
        <v>5.1499999999999997E-2</v>
      </c>
      <c r="I439"/>
      <c r="J439" s="6"/>
      <c r="R439"/>
      <c r="S439" s="6"/>
      <c r="AA439"/>
      <c r="AB439" s="6"/>
      <c r="AJ439"/>
      <c r="AK439" s="6"/>
    </row>
    <row r="440" spans="2:37" x14ac:dyDescent="0.2">
      <c r="B440" s="1">
        <v>439.30700000000002</v>
      </c>
      <c r="C440" s="1">
        <v>-5.4444999999999997</v>
      </c>
      <c r="E440" s="1">
        <v>439.18599999999998</v>
      </c>
      <c r="F440" s="1">
        <v>4.9000000000000002E-2</v>
      </c>
      <c r="I440"/>
      <c r="J440" s="6"/>
      <c r="R440"/>
      <c r="S440" s="6"/>
      <c r="AA440"/>
      <c r="AB440" s="6"/>
      <c r="AJ440"/>
      <c r="AK440" s="6"/>
    </row>
    <row r="441" spans="2:37" x14ac:dyDescent="0.2">
      <c r="B441" s="1">
        <v>440.31099999999998</v>
      </c>
      <c r="C441" s="1">
        <v>-5.5140000000000002</v>
      </c>
      <c r="E441" s="1">
        <v>440.19200000000001</v>
      </c>
      <c r="F441" s="1">
        <v>5.1499999999999997E-2</v>
      </c>
      <c r="I441"/>
      <c r="J441" s="6"/>
      <c r="R441"/>
      <c r="S441" s="6"/>
      <c r="AA441"/>
      <c r="AB441" s="6"/>
      <c r="AJ441"/>
      <c r="AK441" s="6"/>
    </row>
    <row r="442" spans="2:37" x14ac:dyDescent="0.2">
      <c r="B442" s="1">
        <v>441.31599999999997</v>
      </c>
      <c r="C442" s="1">
        <v>-5.577</v>
      </c>
      <c r="E442" s="1">
        <v>441.20100000000002</v>
      </c>
      <c r="F442" s="1">
        <v>5.8000000000000003E-2</v>
      </c>
      <c r="I442"/>
      <c r="J442" s="6"/>
      <c r="R442"/>
      <c r="S442" s="6"/>
      <c r="AA442"/>
      <c r="AB442" s="6"/>
      <c r="AJ442"/>
      <c r="AK442" s="6"/>
    </row>
    <row r="443" spans="2:37" x14ac:dyDescent="0.2">
      <c r="B443" s="1">
        <v>442.32499999999999</v>
      </c>
      <c r="C443" s="1">
        <v>-5.6414999999999997</v>
      </c>
      <c r="E443" s="1">
        <v>442.209</v>
      </c>
      <c r="F443" s="1">
        <v>5.6500000000000002E-2</v>
      </c>
      <c r="I443"/>
      <c r="J443" s="6"/>
      <c r="R443"/>
      <c r="S443" s="6"/>
      <c r="AA443"/>
      <c r="AB443" s="6"/>
      <c r="AJ443"/>
      <c r="AK443" s="6"/>
    </row>
    <row r="444" spans="2:37" x14ac:dyDescent="0.2">
      <c r="B444" s="1">
        <v>443.33100000000002</v>
      </c>
      <c r="C444" s="1">
        <v>-5.7050000000000001</v>
      </c>
      <c r="E444" s="1">
        <v>443.21600000000001</v>
      </c>
      <c r="F444" s="1">
        <v>5.7000000000000002E-2</v>
      </c>
      <c r="I444"/>
      <c r="J444" s="6"/>
      <c r="R444"/>
      <c r="S444" s="6"/>
      <c r="AA444"/>
      <c r="AB444" s="6"/>
      <c r="AJ444"/>
      <c r="AK444" s="6"/>
    </row>
    <row r="445" spans="2:37" x14ac:dyDescent="0.2">
      <c r="B445" s="1">
        <v>444.33699999999999</v>
      </c>
      <c r="C445" s="1">
        <v>-5.77</v>
      </c>
      <c r="E445" s="1">
        <v>444.22300000000001</v>
      </c>
      <c r="F445" s="1">
        <v>6.1499999999999999E-2</v>
      </c>
      <c r="I445"/>
      <c r="J445" s="6"/>
      <c r="R445"/>
      <c r="S445" s="6"/>
      <c r="AA445"/>
      <c r="AB445" s="6"/>
      <c r="AJ445"/>
      <c r="AK445" s="6"/>
    </row>
    <row r="446" spans="2:37" x14ac:dyDescent="0.2">
      <c r="B446" s="1">
        <v>445.34300000000002</v>
      </c>
      <c r="C446" s="1">
        <v>-5.8304999999999998</v>
      </c>
      <c r="E446" s="1">
        <v>445.23</v>
      </c>
      <c r="F446" s="1">
        <v>6.1499999999999999E-2</v>
      </c>
      <c r="I446"/>
      <c r="J446" s="6"/>
      <c r="R446"/>
      <c r="S446" s="6"/>
      <c r="AA446"/>
      <c r="AB446" s="6"/>
      <c r="AJ446"/>
      <c r="AK446" s="6"/>
    </row>
    <row r="447" spans="2:37" x14ac:dyDescent="0.2">
      <c r="B447" s="1">
        <v>446.35</v>
      </c>
      <c r="C447" s="1">
        <v>-5.8920000000000003</v>
      </c>
      <c r="E447" s="1">
        <v>446.24</v>
      </c>
      <c r="F447" s="1">
        <v>6.8000000000000005E-2</v>
      </c>
      <c r="I447"/>
      <c r="J447" s="6"/>
      <c r="R447"/>
      <c r="S447" s="6"/>
      <c r="AA447"/>
      <c r="AB447" s="6"/>
      <c r="AJ447"/>
      <c r="AK447" s="6"/>
    </row>
    <row r="448" spans="2:37" x14ac:dyDescent="0.2">
      <c r="B448" s="1">
        <v>447.35700000000003</v>
      </c>
      <c r="C448" s="1">
        <v>-5.9485000000000001</v>
      </c>
      <c r="E448" s="1">
        <v>447.245</v>
      </c>
      <c r="F448" s="1">
        <v>6.6000000000000003E-2</v>
      </c>
      <c r="I448"/>
      <c r="J448" s="6"/>
      <c r="R448"/>
      <c r="S448" s="6"/>
      <c r="AA448"/>
      <c r="AB448" s="6"/>
      <c r="AJ448"/>
      <c r="AK448" s="6"/>
    </row>
    <row r="449" spans="2:37" x14ac:dyDescent="0.2">
      <c r="B449" s="1">
        <v>448.36099999999999</v>
      </c>
      <c r="C449" s="1">
        <v>-6.0145</v>
      </c>
      <c r="E449" s="1">
        <v>448.24799999999999</v>
      </c>
      <c r="F449" s="1">
        <v>6.4500000000000002E-2</v>
      </c>
      <c r="I449"/>
      <c r="J449" s="6"/>
      <c r="R449"/>
      <c r="S449" s="6"/>
      <c r="AA449"/>
      <c r="AB449" s="6"/>
      <c r="AJ449"/>
      <c r="AK449" s="6"/>
    </row>
    <row r="450" spans="2:37" x14ac:dyDescent="0.2">
      <c r="B450" s="1">
        <v>449.36799999999999</v>
      </c>
      <c r="C450" s="1">
        <v>-6.0674999999999999</v>
      </c>
      <c r="E450" s="1">
        <v>449.25299999999999</v>
      </c>
      <c r="F450" s="1">
        <v>7.0499999999999993E-2</v>
      </c>
      <c r="I450"/>
      <c r="J450" s="6"/>
      <c r="R450"/>
      <c r="S450" s="6"/>
      <c r="AA450"/>
      <c r="AB450" s="6"/>
      <c r="AJ450"/>
      <c r="AK450" s="6"/>
    </row>
    <row r="451" spans="2:37" x14ac:dyDescent="0.2">
      <c r="B451" s="1">
        <v>450.37200000000001</v>
      </c>
      <c r="C451" s="1">
        <v>-6.1174999999999997</v>
      </c>
      <c r="E451" s="1">
        <v>450.26100000000002</v>
      </c>
      <c r="F451" s="1">
        <v>7.0499999999999993E-2</v>
      </c>
      <c r="I451"/>
      <c r="J451" s="6"/>
      <c r="R451"/>
      <c r="S451" s="6"/>
      <c r="AA451"/>
      <c r="AB451" s="6"/>
      <c r="AJ451"/>
      <c r="AK451" s="6"/>
    </row>
    <row r="452" spans="2:37" x14ac:dyDescent="0.2">
      <c r="B452" s="1">
        <v>451.37700000000001</v>
      </c>
      <c r="C452" s="1">
        <v>-6.1764999999999999</v>
      </c>
      <c r="E452" s="1">
        <v>451.26600000000002</v>
      </c>
      <c r="F452" s="1">
        <v>7.5999999999999998E-2</v>
      </c>
      <c r="I452"/>
      <c r="J452" s="6"/>
      <c r="R452"/>
      <c r="S452" s="6"/>
      <c r="AA452"/>
      <c r="AB452" s="6"/>
      <c r="AJ452"/>
      <c r="AK452" s="6"/>
    </row>
    <row r="453" spans="2:37" x14ac:dyDescent="0.2">
      <c r="B453" s="1">
        <v>452.38</v>
      </c>
      <c r="C453" s="1">
        <v>-6.2450000000000001</v>
      </c>
      <c r="E453" s="1">
        <v>452.27300000000002</v>
      </c>
      <c r="F453" s="1">
        <v>7.4999999999999997E-2</v>
      </c>
      <c r="I453"/>
      <c r="J453" s="6"/>
      <c r="R453"/>
      <c r="S453" s="6"/>
      <c r="AA453"/>
      <c r="AB453" s="6"/>
      <c r="AJ453"/>
      <c r="AK453" s="6"/>
    </row>
    <row r="454" spans="2:37" x14ac:dyDescent="0.2">
      <c r="B454" s="1">
        <v>453.38600000000002</v>
      </c>
      <c r="C454" s="1">
        <v>-6.3040000000000003</v>
      </c>
      <c r="E454" s="1">
        <v>453.27800000000002</v>
      </c>
      <c r="F454" s="1">
        <v>7.4999999999999997E-2</v>
      </c>
      <c r="I454"/>
      <c r="J454" s="6"/>
      <c r="R454"/>
      <c r="S454" s="6"/>
      <c r="AA454"/>
      <c r="AB454" s="6"/>
      <c r="AJ454"/>
      <c r="AK454" s="6"/>
    </row>
    <row r="455" spans="2:37" x14ac:dyDescent="0.2">
      <c r="B455" s="1">
        <v>454.392</v>
      </c>
      <c r="C455" s="1">
        <v>-6.3710000000000004</v>
      </c>
      <c r="E455" s="1">
        <v>454.28300000000002</v>
      </c>
      <c r="F455" s="1">
        <v>7.6999999999999999E-2</v>
      </c>
      <c r="I455"/>
      <c r="J455" s="6"/>
      <c r="R455"/>
      <c r="S455" s="6"/>
      <c r="AA455"/>
      <c r="AB455" s="6"/>
      <c r="AJ455"/>
      <c r="AK455" s="6"/>
    </row>
    <row r="456" spans="2:37" x14ac:dyDescent="0.2">
      <c r="B456" s="1">
        <v>455.39800000000002</v>
      </c>
      <c r="C456" s="1">
        <v>-6.4355000000000002</v>
      </c>
      <c r="E456" s="1">
        <v>455.28699999999998</v>
      </c>
      <c r="F456" s="1">
        <v>6.8000000000000005E-2</v>
      </c>
      <c r="I456"/>
      <c r="J456" s="6"/>
      <c r="R456"/>
      <c r="S456" s="6"/>
      <c r="AA456"/>
      <c r="AB456" s="6"/>
      <c r="AJ456"/>
      <c r="AK456" s="6"/>
    </row>
    <row r="457" spans="2:37" x14ac:dyDescent="0.2">
      <c r="B457" s="1">
        <v>456.40499999999997</v>
      </c>
      <c r="C457" s="1">
        <v>-6.5030000000000001</v>
      </c>
      <c r="E457" s="1">
        <v>456.29199999999997</v>
      </c>
      <c r="F457" s="1">
        <v>7.0000000000000007E-2</v>
      </c>
      <c r="I457"/>
      <c r="J457" s="6"/>
      <c r="R457"/>
      <c r="S457" s="6"/>
      <c r="AA457"/>
      <c r="AB457" s="6"/>
      <c r="AJ457"/>
      <c r="AK457" s="6"/>
    </row>
    <row r="458" spans="2:37" x14ac:dyDescent="0.2">
      <c r="B458" s="1">
        <v>457.41300000000001</v>
      </c>
      <c r="C458" s="1">
        <v>-6.5609999999999999</v>
      </c>
      <c r="E458" s="1">
        <v>457.298</v>
      </c>
      <c r="F458" s="1">
        <v>6.7000000000000004E-2</v>
      </c>
      <c r="I458"/>
      <c r="J458" s="6"/>
      <c r="R458"/>
      <c r="S458" s="6"/>
      <c r="AA458"/>
      <c r="AB458" s="6"/>
      <c r="AJ458"/>
      <c r="AK458" s="6"/>
    </row>
    <row r="459" spans="2:37" x14ac:dyDescent="0.2">
      <c r="B459" s="1">
        <v>458.42</v>
      </c>
      <c r="C459" s="1">
        <v>-6.6260000000000003</v>
      </c>
      <c r="E459" s="1">
        <v>458.303</v>
      </c>
      <c r="F459" s="1">
        <v>7.0000000000000007E-2</v>
      </c>
      <c r="I459"/>
      <c r="J459" s="6"/>
      <c r="R459"/>
      <c r="S459" s="6"/>
      <c r="AA459"/>
      <c r="AB459" s="6"/>
      <c r="AJ459"/>
      <c r="AK459" s="6"/>
    </row>
    <row r="460" spans="2:37" x14ac:dyDescent="0.2">
      <c r="B460" s="1">
        <v>459.42399999999998</v>
      </c>
      <c r="C460" s="1">
        <v>-6.6935000000000002</v>
      </c>
      <c r="E460" s="1">
        <v>459.31099999999998</v>
      </c>
      <c r="F460" s="1">
        <v>7.0499999999999993E-2</v>
      </c>
      <c r="I460"/>
      <c r="J460" s="6"/>
      <c r="R460"/>
      <c r="S460" s="6"/>
      <c r="AA460"/>
      <c r="AB460" s="6"/>
      <c r="AJ460"/>
      <c r="AK460" s="6"/>
    </row>
    <row r="461" spans="2:37" x14ac:dyDescent="0.2">
      <c r="B461" s="1">
        <v>460.42899999999997</v>
      </c>
      <c r="C461" s="1">
        <v>-6.7409999999999997</v>
      </c>
      <c r="E461" s="1">
        <v>460.31799999999998</v>
      </c>
      <c r="F461" s="1">
        <v>6.4500000000000002E-2</v>
      </c>
      <c r="I461"/>
      <c r="J461" s="6"/>
      <c r="R461"/>
      <c r="S461" s="6"/>
      <c r="AA461"/>
      <c r="AB461" s="6"/>
      <c r="AJ461"/>
      <c r="AK461" s="6"/>
    </row>
    <row r="462" spans="2:37" x14ac:dyDescent="0.2">
      <c r="B462" s="1">
        <v>461.435</v>
      </c>
      <c r="C462" s="1">
        <v>-6.7910000000000004</v>
      </c>
      <c r="E462" s="1">
        <v>461.32299999999998</v>
      </c>
      <c r="F462" s="1">
        <v>6.3500000000000001E-2</v>
      </c>
      <c r="I462"/>
      <c r="J462" s="6"/>
      <c r="R462"/>
      <c r="S462" s="6"/>
      <c r="AA462"/>
      <c r="AB462" s="6"/>
      <c r="AJ462"/>
      <c r="AK462" s="6"/>
    </row>
    <row r="463" spans="2:37" x14ac:dyDescent="0.2">
      <c r="B463" s="1">
        <v>462.44200000000001</v>
      </c>
      <c r="C463" s="1">
        <v>-6.8559999999999999</v>
      </c>
      <c r="E463" s="1">
        <v>462.32799999999997</v>
      </c>
      <c r="F463" s="1">
        <v>6.4000000000000001E-2</v>
      </c>
      <c r="I463"/>
      <c r="J463" s="6"/>
      <c r="R463"/>
      <c r="S463" s="6"/>
      <c r="AA463"/>
      <c r="AB463" s="6"/>
      <c r="AJ463"/>
      <c r="AK463" s="6"/>
    </row>
    <row r="464" spans="2:37" x14ac:dyDescent="0.2">
      <c r="B464" s="1">
        <v>463.44900000000001</v>
      </c>
      <c r="C464" s="1">
        <v>-6.9260000000000002</v>
      </c>
      <c r="E464" s="1">
        <v>463.33199999999999</v>
      </c>
      <c r="F464" s="1">
        <v>5.3999999999999999E-2</v>
      </c>
      <c r="I464"/>
      <c r="J464" s="6"/>
      <c r="R464"/>
      <c r="S464" s="6"/>
      <c r="AA464"/>
      <c r="AB464" s="6"/>
      <c r="AJ464"/>
      <c r="AK464" s="6"/>
    </row>
    <row r="465" spans="2:37" x14ac:dyDescent="0.2">
      <c r="B465" s="1">
        <v>464.45499999999998</v>
      </c>
      <c r="C465" s="1">
        <v>-6.9844999999999997</v>
      </c>
      <c r="E465" s="1">
        <v>464.33699999999999</v>
      </c>
      <c r="F465" s="1">
        <v>5.6000000000000001E-2</v>
      </c>
      <c r="I465"/>
      <c r="J465" s="6"/>
      <c r="R465"/>
      <c r="S465" s="6"/>
      <c r="AA465"/>
      <c r="AB465" s="6"/>
      <c r="AJ465"/>
      <c r="AK465" s="6"/>
    </row>
    <row r="466" spans="2:37" x14ac:dyDescent="0.2">
      <c r="B466" s="1">
        <v>465.45699999999999</v>
      </c>
      <c r="C466" s="1">
        <v>-7.0454999999999997</v>
      </c>
      <c r="E466" s="1">
        <v>465.34399999999999</v>
      </c>
      <c r="F466" s="1">
        <v>5.45E-2</v>
      </c>
      <c r="I466"/>
      <c r="J466" s="6"/>
      <c r="R466"/>
      <c r="S466" s="6"/>
      <c r="AA466"/>
      <c r="AB466" s="6"/>
      <c r="AJ466"/>
      <c r="AK466" s="6"/>
    </row>
    <row r="467" spans="2:37" x14ac:dyDescent="0.2">
      <c r="B467" s="1">
        <v>466.46300000000002</v>
      </c>
      <c r="C467" s="1">
        <v>-7.1040000000000001</v>
      </c>
      <c r="E467" s="1">
        <v>466.34800000000001</v>
      </c>
      <c r="F467" s="1">
        <v>4.8500000000000001E-2</v>
      </c>
      <c r="I467"/>
      <c r="J467" s="6"/>
      <c r="R467"/>
      <c r="S467" s="6"/>
      <c r="AA467"/>
      <c r="AB467" s="6"/>
      <c r="AJ467"/>
      <c r="AK467" s="6"/>
    </row>
    <row r="468" spans="2:37" x14ac:dyDescent="0.2">
      <c r="B468" s="1">
        <v>467.46800000000002</v>
      </c>
      <c r="C468" s="1">
        <v>-7.17</v>
      </c>
      <c r="I468"/>
      <c r="J468" s="6"/>
      <c r="R468"/>
      <c r="S468" s="6"/>
      <c r="AA468"/>
      <c r="AB468" s="6"/>
      <c r="AJ468"/>
      <c r="AK468" s="6"/>
    </row>
    <row r="469" spans="2:37" x14ac:dyDescent="0.2">
      <c r="B469" s="1">
        <v>468.47500000000002</v>
      </c>
      <c r="C469" s="1">
        <v>-7.2234999999999996</v>
      </c>
      <c r="I469"/>
      <c r="J469" s="6"/>
      <c r="R469"/>
      <c r="S469" s="6"/>
      <c r="AA469"/>
      <c r="AB469" s="6"/>
      <c r="AJ469"/>
      <c r="AK469" s="6"/>
    </row>
    <row r="470" spans="2:37" x14ac:dyDescent="0.2">
      <c r="B470" s="1">
        <v>469.47899999999998</v>
      </c>
      <c r="C470" s="1">
        <v>-7.2785000000000002</v>
      </c>
      <c r="I470"/>
      <c r="J470" s="6"/>
      <c r="R470"/>
      <c r="S470" s="6"/>
      <c r="AA470"/>
      <c r="AB470" s="6"/>
      <c r="AJ470"/>
      <c r="AK470" s="6"/>
    </row>
    <row r="471" spans="2:37" x14ac:dyDescent="0.2">
      <c r="B471" s="1">
        <v>470.48500000000001</v>
      </c>
      <c r="C471" s="1">
        <v>-7.3380000000000001</v>
      </c>
      <c r="I471"/>
      <c r="J471" s="6"/>
      <c r="R471"/>
      <c r="S471" s="6"/>
      <c r="AA471"/>
      <c r="AB471" s="6"/>
      <c r="AJ471"/>
      <c r="AK471" s="6"/>
    </row>
    <row r="472" spans="2:37" x14ac:dyDescent="0.2">
      <c r="B472" s="1">
        <v>471.49099999999999</v>
      </c>
      <c r="C472" s="1">
        <v>-7.3914999999999997</v>
      </c>
      <c r="I472"/>
      <c r="J472" s="6"/>
      <c r="R472"/>
      <c r="S472" s="6"/>
      <c r="AA472"/>
      <c r="AB472" s="6"/>
      <c r="AJ472"/>
      <c r="AK472" s="6"/>
    </row>
    <row r="473" spans="2:37" x14ac:dyDescent="0.2">
      <c r="B473" s="1">
        <v>472.495</v>
      </c>
      <c r="C473" s="1">
        <v>-7.4485000000000001</v>
      </c>
      <c r="I473"/>
      <c r="J473" s="6"/>
      <c r="R473"/>
      <c r="S473" s="6"/>
      <c r="AA473"/>
      <c r="AB473" s="6"/>
      <c r="AJ473"/>
      <c r="AK473" s="6"/>
    </row>
    <row r="474" spans="2:37" x14ac:dyDescent="0.2">
      <c r="B474" s="1">
        <v>473.50099999999998</v>
      </c>
      <c r="C474" s="1">
        <v>-7.5049999999999999</v>
      </c>
      <c r="I474"/>
      <c r="J474" s="6"/>
      <c r="R474"/>
      <c r="S474" s="6"/>
      <c r="AA474"/>
      <c r="AB474" s="6"/>
      <c r="AJ474"/>
      <c r="AK474" s="6"/>
    </row>
    <row r="475" spans="2:37" x14ac:dyDescent="0.2">
      <c r="B475" s="1">
        <v>474.50599999999997</v>
      </c>
      <c r="C475" s="1">
        <v>-7.5650000000000004</v>
      </c>
      <c r="I475"/>
      <c r="J475" s="6"/>
      <c r="R475"/>
      <c r="S475" s="6"/>
      <c r="AA475"/>
      <c r="AB475" s="6"/>
      <c r="AJ475"/>
      <c r="AK475" s="6"/>
    </row>
    <row r="476" spans="2:37" x14ac:dyDescent="0.2">
      <c r="B476" s="1">
        <v>475.512</v>
      </c>
      <c r="C476" s="1">
        <v>-7.5705</v>
      </c>
      <c r="I476"/>
      <c r="J476" s="6"/>
      <c r="R476"/>
      <c r="S476" s="6"/>
      <c r="AA476"/>
      <c r="AB476" s="6"/>
      <c r="AJ476"/>
      <c r="AK476" s="6"/>
    </row>
    <row r="477" spans="2:37" x14ac:dyDescent="0.2">
      <c r="B477" s="1">
        <v>476.517</v>
      </c>
      <c r="C477" s="1">
        <v>-5.9939999999999998</v>
      </c>
      <c r="I477"/>
      <c r="J477" s="6"/>
      <c r="R477"/>
      <c r="S477" s="6"/>
      <c r="AA477"/>
      <c r="AB477" s="6"/>
      <c r="AJ477"/>
      <c r="AK477" s="6"/>
    </row>
    <row r="478" spans="2:37" x14ac:dyDescent="0.2">
      <c r="B478" s="1">
        <v>477.52499999999998</v>
      </c>
      <c r="C478" s="1">
        <v>-3.7974999999999999</v>
      </c>
      <c r="I478"/>
      <c r="J478" s="6"/>
      <c r="R478"/>
      <c r="S478" s="6"/>
      <c r="AA478"/>
      <c r="AB478" s="6"/>
      <c r="AJ478"/>
      <c r="AK478" s="6"/>
    </row>
    <row r="479" spans="2:37" x14ac:dyDescent="0.2">
      <c r="B479" s="1">
        <v>478.536</v>
      </c>
      <c r="C479" s="1">
        <v>-2.4035000000000002</v>
      </c>
      <c r="I479"/>
      <c r="J479" s="6"/>
      <c r="R479"/>
      <c r="S479" s="6"/>
      <c r="AA479"/>
      <c r="AB479" s="6"/>
      <c r="AJ479"/>
      <c r="AK479" s="6"/>
    </row>
    <row r="480" spans="2:37" x14ac:dyDescent="0.2">
      <c r="B480" s="1">
        <v>479.54300000000001</v>
      </c>
      <c r="C480" s="1">
        <v>-1.55</v>
      </c>
      <c r="I480"/>
      <c r="J480" s="6"/>
      <c r="R480"/>
      <c r="S480" s="6"/>
      <c r="AA480"/>
      <c r="AB480" s="6"/>
      <c r="AJ480"/>
      <c r="AK480" s="6"/>
    </row>
    <row r="481" spans="2:37" x14ac:dyDescent="0.2">
      <c r="B481" s="1">
        <v>480.548</v>
      </c>
      <c r="C481" s="1">
        <v>-1.02</v>
      </c>
      <c r="I481"/>
      <c r="J481" s="6"/>
      <c r="R481"/>
      <c r="S481" s="6"/>
      <c r="AA481"/>
      <c r="AB481" s="6"/>
      <c r="AJ481"/>
      <c r="AK481" s="6"/>
    </row>
    <row r="482" spans="2:37" x14ac:dyDescent="0.2">
      <c r="B482" s="1">
        <v>481.55500000000001</v>
      </c>
      <c r="C482" s="1">
        <v>-0.69750000000000001</v>
      </c>
      <c r="I482"/>
      <c r="J482" s="6"/>
      <c r="R482"/>
      <c r="S482" s="6"/>
      <c r="AA482"/>
      <c r="AB482" s="6"/>
      <c r="AJ482"/>
      <c r="AK482" s="6"/>
    </row>
    <row r="483" spans="2:37" x14ac:dyDescent="0.2">
      <c r="B483" s="1">
        <v>482.56200000000001</v>
      </c>
      <c r="C483" s="1">
        <v>-0.49349999999999999</v>
      </c>
      <c r="I483"/>
      <c r="J483" s="6"/>
      <c r="R483"/>
      <c r="S483" s="6"/>
      <c r="AA483"/>
      <c r="AB483" s="6"/>
      <c r="AJ483"/>
      <c r="AK483" s="6"/>
    </row>
    <row r="484" spans="2:37" x14ac:dyDescent="0.2">
      <c r="B484" s="1">
        <v>483.57</v>
      </c>
      <c r="C484" s="1">
        <v>-0.36399999999999999</v>
      </c>
      <c r="I484"/>
      <c r="J484" s="6"/>
      <c r="R484"/>
      <c r="S484" s="6"/>
      <c r="AA484"/>
      <c r="AB484" s="6"/>
      <c r="AJ484"/>
      <c r="AK484" s="6"/>
    </row>
    <row r="485" spans="2:37" x14ac:dyDescent="0.2">
      <c r="B485" s="1">
        <v>484.57799999999997</v>
      </c>
      <c r="C485" s="1">
        <v>-0.28699999999999998</v>
      </c>
      <c r="I485"/>
      <c r="J485" s="6"/>
      <c r="R485"/>
      <c r="S485" s="6"/>
      <c r="AA485"/>
      <c r="AB485" s="6"/>
      <c r="AJ485"/>
      <c r="AK485" s="6"/>
    </row>
    <row r="486" spans="2:37" x14ac:dyDescent="0.2">
      <c r="B486" s="1">
        <v>485.584</v>
      </c>
      <c r="C486" s="1">
        <v>-0.22950000000000001</v>
      </c>
      <c r="I486"/>
      <c r="J486" s="6"/>
      <c r="R486"/>
      <c r="S486" s="6"/>
      <c r="AA486"/>
      <c r="AB486" s="6"/>
      <c r="AJ486"/>
      <c r="AK486" s="6"/>
    </row>
    <row r="487" spans="2:37" x14ac:dyDescent="0.2">
      <c r="B487" s="1">
        <v>486.589</v>
      </c>
      <c r="C487" s="1">
        <v>-0.189</v>
      </c>
      <c r="I487"/>
      <c r="J487" s="6"/>
      <c r="R487"/>
      <c r="S487" s="6"/>
      <c r="AA487"/>
      <c r="AB487" s="6"/>
      <c r="AJ487"/>
      <c r="AK487" s="6"/>
    </row>
    <row r="488" spans="2:37" x14ac:dyDescent="0.2">
      <c r="B488" s="1">
        <v>487.59699999999998</v>
      </c>
      <c r="C488" s="1">
        <v>-0.16300000000000001</v>
      </c>
      <c r="I488"/>
      <c r="J488" s="6"/>
      <c r="R488"/>
      <c r="S488" s="6"/>
      <c r="AA488"/>
      <c r="AB488" s="6"/>
      <c r="AJ488"/>
      <c r="AK488" s="6"/>
    </row>
    <row r="489" spans="2:37" x14ac:dyDescent="0.2">
      <c r="B489" s="1">
        <v>488.6</v>
      </c>
      <c r="C489" s="1">
        <v>-0.14050000000000001</v>
      </c>
      <c r="I489"/>
      <c r="J489" s="6"/>
      <c r="R489"/>
      <c r="S489" s="6"/>
      <c r="AA489"/>
      <c r="AB489" s="6"/>
      <c r="AJ489"/>
      <c r="AK489" s="6"/>
    </row>
    <row r="490" spans="2:37" x14ac:dyDescent="0.2">
      <c r="B490" s="1">
        <v>489.60500000000002</v>
      </c>
      <c r="C490" s="1">
        <v>-0.123</v>
      </c>
      <c r="I490"/>
      <c r="J490" s="6"/>
      <c r="R490"/>
      <c r="S490" s="6"/>
      <c r="AA490"/>
      <c r="AB490" s="6"/>
      <c r="AJ490"/>
      <c r="AK490" s="6"/>
    </row>
    <row r="491" spans="2:37" x14ac:dyDescent="0.2">
      <c r="B491" s="1">
        <v>490.613</v>
      </c>
      <c r="C491" s="1">
        <v>-0.115</v>
      </c>
      <c r="I491"/>
      <c r="J491" s="6"/>
      <c r="R491"/>
      <c r="S491" s="6"/>
      <c r="AA491"/>
      <c r="AB491" s="6"/>
      <c r="AJ491"/>
      <c r="AK491" s="6"/>
    </row>
    <row r="492" spans="2:37" x14ac:dyDescent="0.2">
      <c r="B492" s="1">
        <v>491.61900000000003</v>
      </c>
      <c r="C492" s="1">
        <v>-9.6500000000000002E-2</v>
      </c>
      <c r="I492"/>
      <c r="J492" s="6"/>
      <c r="R492"/>
      <c r="S492" s="6"/>
      <c r="AA492"/>
      <c r="AB492" s="6"/>
      <c r="AJ492"/>
      <c r="AK492" s="6"/>
    </row>
    <row r="493" spans="2:37" x14ac:dyDescent="0.2">
      <c r="B493" s="1">
        <v>492.62599999999998</v>
      </c>
      <c r="C493" s="1">
        <v>-8.4500000000000006E-2</v>
      </c>
      <c r="I493"/>
      <c r="J493" s="6"/>
      <c r="R493"/>
      <c r="S493" s="6"/>
      <c r="AA493"/>
      <c r="AB493" s="6"/>
      <c r="AJ493"/>
      <c r="AK493" s="6"/>
    </row>
    <row r="494" spans="2:37" x14ac:dyDescent="0.2">
      <c r="B494" s="1">
        <v>493.63</v>
      </c>
      <c r="C494" s="1">
        <v>-7.4999999999999997E-2</v>
      </c>
      <c r="I494"/>
      <c r="J494" s="6"/>
      <c r="R494"/>
      <c r="S494" s="6"/>
      <c r="AA494"/>
      <c r="AB494" s="6"/>
      <c r="AJ494"/>
      <c r="AK494" s="6"/>
    </row>
    <row r="495" spans="2:37" x14ac:dyDescent="0.2">
      <c r="B495" s="1">
        <v>494.63499999999999</v>
      </c>
      <c r="C495" s="1">
        <v>-6.5000000000000002E-2</v>
      </c>
      <c r="I495"/>
      <c r="J495" s="6"/>
      <c r="R495"/>
      <c r="S495" s="6"/>
      <c r="AA495"/>
      <c r="AB495" s="6"/>
      <c r="AJ495"/>
      <c r="AK495" s="6"/>
    </row>
    <row r="496" spans="2:37" x14ac:dyDescent="0.2">
      <c r="B496" s="1">
        <v>495.63900000000001</v>
      </c>
      <c r="C496" s="1">
        <v>-6.0999999999999999E-2</v>
      </c>
      <c r="I496"/>
      <c r="J496" s="6"/>
      <c r="R496"/>
      <c r="S496" s="6"/>
      <c r="AA496"/>
      <c r="AB496" s="6"/>
      <c r="AJ496"/>
      <c r="AK496" s="6"/>
    </row>
    <row r="497" spans="2:37" x14ac:dyDescent="0.2">
      <c r="B497" s="1">
        <v>496.64699999999999</v>
      </c>
      <c r="C497" s="1">
        <v>-0.05</v>
      </c>
      <c r="I497"/>
      <c r="J497" s="6"/>
      <c r="R497"/>
      <c r="S497" s="6"/>
      <c r="AA497"/>
      <c r="AB497" s="6"/>
      <c r="AJ497"/>
      <c r="AK497" s="6"/>
    </row>
    <row r="498" spans="2:37" x14ac:dyDescent="0.2">
      <c r="B498" s="1">
        <v>497.654</v>
      </c>
      <c r="C498" s="1">
        <v>-3.85E-2</v>
      </c>
      <c r="I498"/>
      <c r="J498" s="6"/>
      <c r="R498"/>
      <c r="S498" s="6"/>
      <c r="AA498"/>
      <c r="AB498" s="6"/>
      <c r="AJ498"/>
      <c r="AK498" s="6"/>
    </row>
    <row r="499" spans="2:37" x14ac:dyDescent="0.2">
      <c r="B499" s="1">
        <v>498.661</v>
      </c>
      <c r="C499" s="1">
        <v>-3.2500000000000001E-2</v>
      </c>
      <c r="I499"/>
      <c r="J499" s="6"/>
      <c r="R499"/>
      <c r="S499" s="6"/>
      <c r="AA499"/>
      <c r="AB499" s="6"/>
      <c r="AJ499"/>
      <c r="AK499" s="6"/>
    </row>
    <row r="500" spans="2:37" x14ac:dyDescent="0.2">
      <c r="B500" s="1">
        <v>499.666</v>
      </c>
      <c r="C500" s="1">
        <v>-3.1E-2</v>
      </c>
      <c r="I500"/>
      <c r="J500" s="6"/>
      <c r="R500"/>
      <c r="S500" s="6"/>
      <c r="AA500"/>
      <c r="AB500" s="6"/>
      <c r="AJ500"/>
      <c r="AK500" s="6"/>
    </row>
    <row r="501" spans="2:37" x14ac:dyDescent="0.2">
      <c r="B501" s="1">
        <v>500.67099999999999</v>
      </c>
      <c r="C501" s="1">
        <v>-1.4999999999999999E-2</v>
      </c>
      <c r="I501"/>
      <c r="J501" s="6"/>
      <c r="R501"/>
      <c r="S501" s="6"/>
      <c r="AA501"/>
      <c r="AB501" s="6"/>
      <c r="AJ501"/>
      <c r="AK501" s="6"/>
    </row>
    <row r="502" spans="2:37" x14ac:dyDescent="0.2">
      <c r="B502" s="1">
        <v>501.67500000000001</v>
      </c>
      <c r="C502" s="1">
        <v>-1.0999999999999999E-2</v>
      </c>
      <c r="I502"/>
      <c r="J502" s="6"/>
      <c r="R502"/>
      <c r="S502" s="6"/>
      <c r="AA502"/>
      <c r="AB502" s="6"/>
      <c r="AJ502"/>
      <c r="AK502" s="6"/>
    </row>
    <row r="503" spans="2:37" x14ac:dyDescent="0.2">
      <c r="B503" s="1">
        <v>502.68299999999999</v>
      </c>
      <c r="C503" s="1">
        <v>-3.0000000000000001E-3</v>
      </c>
      <c r="I503"/>
      <c r="J503" s="6"/>
      <c r="R503"/>
      <c r="S503" s="6"/>
      <c r="AA503"/>
      <c r="AB503" s="6"/>
      <c r="AJ503"/>
      <c r="AK503" s="6"/>
    </row>
    <row r="504" spans="2:37" x14ac:dyDescent="0.2">
      <c r="B504" s="1">
        <v>503.68799999999999</v>
      </c>
      <c r="C504" s="1">
        <v>-1.5E-3</v>
      </c>
      <c r="I504"/>
      <c r="J504" s="6"/>
      <c r="R504"/>
      <c r="S504" s="6"/>
      <c r="AA504"/>
      <c r="AB504" s="6"/>
      <c r="AJ504"/>
      <c r="AK504" s="6"/>
    </row>
    <row r="505" spans="2:37" x14ac:dyDescent="0.2">
      <c r="B505" s="1">
        <v>504.69600000000003</v>
      </c>
      <c r="C505" s="1">
        <v>-1E-3</v>
      </c>
      <c r="I505"/>
      <c r="J505" s="6"/>
      <c r="R505"/>
      <c r="S505" s="6"/>
      <c r="AA505"/>
      <c r="AB505" s="6"/>
      <c r="AJ505"/>
      <c r="AK505" s="6"/>
    </row>
    <row r="506" spans="2:37" x14ac:dyDescent="0.2">
      <c r="B506" s="1">
        <v>505.70299999999997</v>
      </c>
      <c r="C506" s="1">
        <v>1.5E-3</v>
      </c>
      <c r="I506"/>
      <c r="J506" s="6"/>
      <c r="R506"/>
      <c r="S506" s="6"/>
      <c r="AA506"/>
      <c r="AB506" s="6"/>
      <c r="AJ506"/>
      <c r="AK506" s="6"/>
    </row>
    <row r="507" spans="2:37" x14ac:dyDescent="0.2">
      <c r="B507" s="1">
        <v>506.71</v>
      </c>
      <c r="C507" s="1">
        <v>1E-3</v>
      </c>
      <c r="I507"/>
      <c r="J507" s="6"/>
      <c r="R507"/>
      <c r="S507" s="6"/>
      <c r="AA507"/>
      <c r="AB507" s="6"/>
      <c r="AJ507"/>
      <c r="AK507" s="6"/>
    </row>
    <row r="508" spans="2:37" x14ac:dyDescent="0.2">
      <c r="B508" s="1">
        <v>507.71499999999997</v>
      </c>
      <c r="C508" s="1">
        <v>2E-3</v>
      </c>
      <c r="I508"/>
      <c r="J508" s="6"/>
      <c r="R508"/>
      <c r="S508" s="6"/>
      <c r="AA508"/>
      <c r="AB508" s="6"/>
      <c r="AJ508"/>
      <c r="AK508" s="6"/>
    </row>
    <row r="509" spans="2:37" x14ac:dyDescent="0.2">
      <c r="B509" s="1">
        <v>508.72</v>
      </c>
      <c r="C509" s="1">
        <v>5.0000000000000001E-3</v>
      </c>
      <c r="I509"/>
      <c r="J509" s="6"/>
      <c r="R509"/>
      <c r="S509" s="6"/>
      <c r="AA509"/>
      <c r="AB509" s="6"/>
      <c r="AJ509"/>
      <c r="AK509" s="6"/>
    </row>
    <row r="510" spans="2:37" x14ac:dyDescent="0.2">
      <c r="B510" s="1">
        <v>509.726</v>
      </c>
      <c r="C510" s="1">
        <v>0</v>
      </c>
      <c r="I510"/>
      <c r="J510" s="6"/>
      <c r="R510"/>
      <c r="S510" s="6"/>
      <c r="AA510"/>
      <c r="AB510" s="6"/>
      <c r="AJ510"/>
      <c r="AK510" s="6"/>
    </row>
    <row r="511" spans="2:37" x14ac:dyDescent="0.2">
      <c r="B511" s="1">
        <v>510.73</v>
      </c>
      <c r="C511" s="1">
        <v>-1E-3</v>
      </c>
      <c r="I511"/>
      <c r="J511" s="6"/>
      <c r="R511"/>
      <c r="S511" s="6"/>
      <c r="AA511"/>
      <c r="AB511" s="6"/>
      <c r="AJ511"/>
      <c r="AK511" s="6"/>
    </row>
    <row r="512" spans="2:37" x14ac:dyDescent="0.2">
      <c r="B512" s="1">
        <v>511.73500000000001</v>
      </c>
      <c r="C512" s="1">
        <v>3.5000000000000001E-3</v>
      </c>
      <c r="I512"/>
      <c r="J512" s="6"/>
      <c r="R512"/>
      <c r="S512" s="6"/>
      <c r="AA512"/>
      <c r="AB512" s="6"/>
      <c r="AJ512"/>
      <c r="AK512" s="6"/>
    </row>
    <row r="513" spans="2:37" x14ac:dyDescent="0.2">
      <c r="B513" s="1">
        <v>512.74</v>
      </c>
      <c r="C513" s="1">
        <v>7.0000000000000001E-3</v>
      </c>
      <c r="I513"/>
      <c r="J513" s="6"/>
      <c r="R513"/>
      <c r="S513" s="6"/>
      <c r="AA513"/>
      <c r="AB513" s="6"/>
      <c r="AJ513"/>
      <c r="AK513" s="6"/>
    </row>
    <row r="514" spans="2:37" x14ac:dyDescent="0.2">
      <c r="B514" s="1">
        <v>513.745</v>
      </c>
      <c r="C514" s="1">
        <v>1.15E-2</v>
      </c>
      <c r="I514"/>
      <c r="J514" s="6"/>
      <c r="R514"/>
      <c r="S514" s="6"/>
      <c r="AA514"/>
      <c r="AB514" s="6"/>
      <c r="AJ514"/>
      <c r="AK514" s="6"/>
    </row>
    <row r="515" spans="2:37" x14ac:dyDescent="0.2">
      <c r="B515" s="1">
        <v>514.74900000000002</v>
      </c>
      <c r="C515" s="1">
        <v>1.7999999999999999E-2</v>
      </c>
      <c r="I515"/>
      <c r="J515" s="6"/>
      <c r="R515"/>
      <c r="S515" s="6"/>
      <c r="AA515"/>
      <c r="AB515" s="6"/>
      <c r="AJ515"/>
      <c r="AK515" s="6"/>
    </row>
    <row r="516" spans="2:37" x14ac:dyDescent="0.2">
      <c r="B516" s="1">
        <v>515.755</v>
      </c>
      <c r="C516" s="1">
        <v>2.1499999999999998E-2</v>
      </c>
      <c r="I516"/>
      <c r="J516" s="6"/>
      <c r="R516"/>
      <c r="S516" s="6"/>
      <c r="AA516"/>
      <c r="AB516" s="6"/>
      <c r="AJ516"/>
      <c r="AK516" s="6"/>
    </row>
    <row r="517" spans="2:37" x14ac:dyDescent="0.2">
      <c r="B517" s="1">
        <v>516.76</v>
      </c>
      <c r="C517" s="1">
        <v>2.5999999999999999E-2</v>
      </c>
      <c r="I517"/>
      <c r="J517" s="6"/>
      <c r="R517"/>
      <c r="S517" s="6"/>
      <c r="AA517"/>
      <c r="AB517" s="6"/>
      <c r="AJ517"/>
      <c r="AK517" s="6"/>
    </row>
    <row r="518" spans="2:37" x14ac:dyDescent="0.2">
      <c r="B518" s="1">
        <v>517.76499999999999</v>
      </c>
      <c r="C518" s="1">
        <v>2.5999999999999999E-2</v>
      </c>
      <c r="I518"/>
      <c r="J518" s="6"/>
      <c r="R518"/>
      <c r="S518" s="6"/>
      <c r="AA518"/>
      <c r="AB518" s="6"/>
      <c r="AJ518"/>
      <c r="AK518" s="6"/>
    </row>
    <row r="519" spans="2:37" x14ac:dyDescent="0.2">
      <c r="B519" s="1">
        <v>518.76800000000003</v>
      </c>
      <c r="C519" s="1">
        <v>3.0499999999999999E-2</v>
      </c>
      <c r="I519"/>
      <c r="J519" s="6"/>
      <c r="R519"/>
      <c r="S519" s="6"/>
      <c r="AA519"/>
      <c r="AB519" s="6"/>
      <c r="AJ519"/>
      <c r="AK519" s="6"/>
    </row>
    <row r="520" spans="2:37" x14ac:dyDescent="0.2">
      <c r="B520" s="1">
        <v>519.774</v>
      </c>
      <c r="C520" s="1">
        <v>3.2000000000000001E-2</v>
      </c>
      <c r="I520"/>
      <c r="J520" s="6"/>
      <c r="R520"/>
      <c r="S520" s="6"/>
      <c r="AA520"/>
      <c r="AB520" s="6"/>
      <c r="AJ520"/>
      <c r="AK520" s="6"/>
    </row>
    <row r="521" spans="2:37" x14ac:dyDescent="0.2">
      <c r="B521" s="1">
        <v>520.78099999999995</v>
      </c>
      <c r="C521" s="1">
        <v>3.0499999999999999E-2</v>
      </c>
      <c r="I521"/>
      <c r="J521" s="6"/>
      <c r="R521"/>
      <c r="S521" s="6"/>
      <c r="AA521"/>
      <c r="AB521" s="6"/>
      <c r="AJ521"/>
      <c r="AK521" s="6"/>
    </row>
    <row r="522" spans="2:37" x14ac:dyDescent="0.2">
      <c r="B522" s="1">
        <v>521.78800000000001</v>
      </c>
      <c r="C522" s="1">
        <v>3.3000000000000002E-2</v>
      </c>
      <c r="I522"/>
      <c r="J522" s="6"/>
      <c r="R522"/>
      <c r="S522" s="6"/>
      <c r="AA522"/>
      <c r="AB522" s="6"/>
      <c r="AJ522"/>
      <c r="AK522" s="6"/>
    </row>
    <row r="523" spans="2:37" x14ac:dyDescent="0.2">
      <c r="B523" s="1">
        <v>522.79200000000003</v>
      </c>
      <c r="C523" s="1">
        <v>3.3500000000000002E-2</v>
      </c>
      <c r="I523"/>
      <c r="J523" s="6"/>
      <c r="R523"/>
      <c r="S523" s="6"/>
      <c r="AA523"/>
      <c r="AB523" s="6"/>
      <c r="AJ523"/>
      <c r="AK523" s="6"/>
    </row>
    <row r="524" spans="2:37" x14ac:dyDescent="0.2">
      <c r="B524" s="1">
        <v>523.79700000000003</v>
      </c>
      <c r="C524" s="1">
        <v>3.5999999999999997E-2</v>
      </c>
      <c r="I524"/>
      <c r="J524" s="6"/>
      <c r="R524"/>
      <c r="S524" s="6"/>
      <c r="AA524"/>
      <c r="AB524" s="6"/>
      <c r="AJ524"/>
      <c r="AK524" s="6"/>
    </row>
    <row r="525" spans="2:37" x14ac:dyDescent="0.2">
      <c r="B525" s="1">
        <v>524.80499999999995</v>
      </c>
      <c r="C525" s="1">
        <v>3.5000000000000003E-2</v>
      </c>
      <c r="I525"/>
      <c r="J525" s="6"/>
      <c r="R525"/>
      <c r="S525" s="6"/>
      <c r="AA525"/>
      <c r="AB525" s="6"/>
      <c r="AJ525"/>
      <c r="AK525" s="6"/>
    </row>
    <row r="526" spans="2:37" x14ac:dyDescent="0.2">
      <c r="B526" s="1">
        <v>525.80899999999997</v>
      </c>
      <c r="C526" s="1">
        <v>3.2500000000000001E-2</v>
      </c>
      <c r="I526"/>
      <c r="J526" s="6"/>
      <c r="R526"/>
      <c r="S526" s="6"/>
      <c r="AA526"/>
      <c r="AB526" s="6"/>
      <c r="AJ526"/>
      <c r="AK526" s="6"/>
    </row>
    <row r="527" spans="2:37" x14ac:dyDescent="0.2">
      <c r="B527" s="1">
        <v>526.81600000000003</v>
      </c>
      <c r="C527" s="1">
        <v>3.95E-2</v>
      </c>
      <c r="I527"/>
      <c r="J527" s="6"/>
      <c r="R527"/>
      <c r="S527" s="6"/>
      <c r="AA527"/>
      <c r="AB527" s="6"/>
      <c r="AJ527"/>
      <c r="AK527" s="6"/>
    </row>
    <row r="528" spans="2:37" x14ac:dyDescent="0.2">
      <c r="B528" s="1">
        <v>527.82000000000005</v>
      </c>
      <c r="C528" s="1">
        <v>3.7999999999999999E-2</v>
      </c>
      <c r="I528"/>
      <c r="J528" s="6"/>
      <c r="R528"/>
      <c r="S528" s="6"/>
      <c r="AA528"/>
      <c r="AB528" s="6"/>
      <c r="AJ528"/>
      <c r="AK528" s="6"/>
    </row>
    <row r="529" spans="2:37" x14ac:dyDescent="0.2">
      <c r="B529" s="1">
        <v>528.82600000000002</v>
      </c>
      <c r="C529" s="1">
        <v>3.7499999999999999E-2</v>
      </c>
      <c r="I529"/>
      <c r="J529" s="6"/>
      <c r="R529"/>
      <c r="S529" s="6"/>
      <c r="AA529"/>
      <c r="AB529" s="6"/>
      <c r="AJ529"/>
      <c r="AK529" s="6"/>
    </row>
    <row r="530" spans="2:37" x14ac:dyDescent="0.2">
      <c r="B530" s="1">
        <v>529.83100000000002</v>
      </c>
      <c r="C530" s="1">
        <v>4.4499999999999998E-2</v>
      </c>
      <c r="I530"/>
      <c r="J530" s="6"/>
      <c r="R530"/>
      <c r="S530" s="6"/>
      <c r="AA530"/>
      <c r="AB530" s="6"/>
      <c r="AJ530"/>
      <c r="AK530" s="6"/>
    </row>
    <row r="531" spans="2:37" x14ac:dyDescent="0.2">
      <c r="B531" s="1">
        <v>530.83699999999999</v>
      </c>
      <c r="C531" s="1">
        <v>3.6499999999999998E-2</v>
      </c>
      <c r="I531"/>
      <c r="J531" s="6"/>
      <c r="R531"/>
      <c r="S531" s="6"/>
      <c r="AA531"/>
      <c r="AB531" s="6"/>
      <c r="AJ531"/>
      <c r="AK531" s="6"/>
    </row>
    <row r="532" spans="2:37" x14ac:dyDescent="0.2">
      <c r="B532" s="1">
        <v>531.84400000000005</v>
      </c>
      <c r="C532" s="1">
        <v>3.85E-2</v>
      </c>
      <c r="I532"/>
      <c r="J532" s="6"/>
      <c r="R532"/>
      <c r="S532" s="6"/>
      <c r="AA532"/>
      <c r="AB532" s="6"/>
      <c r="AJ532"/>
      <c r="AK532" s="6"/>
    </row>
    <row r="533" spans="2:37" x14ac:dyDescent="0.2">
      <c r="B533" s="1">
        <v>532.85299999999995</v>
      </c>
      <c r="C533" s="1">
        <v>3.7999999999999999E-2</v>
      </c>
      <c r="I533"/>
      <c r="J533" s="6"/>
      <c r="R533"/>
      <c r="S533" s="6"/>
      <c r="AA533"/>
      <c r="AB533" s="6"/>
      <c r="AJ533"/>
      <c r="AK533" s="6"/>
    </row>
    <row r="534" spans="2:37" x14ac:dyDescent="0.2">
      <c r="B534" s="1">
        <v>533.86199999999997</v>
      </c>
      <c r="C534" s="1">
        <v>4.5499999999999999E-2</v>
      </c>
      <c r="I534"/>
      <c r="J534" s="6"/>
      <c r="R534"/>
      <c r="S534" s="6"/>
      <c r="AA534"/>
      <c r="AB534" s="6"/>
      <c r="AJ534"/>
      <c r="AK534" s="6"/>
    </row>
    <row r="535" spans="2:37" x14ac:dyDescent="0.2">
      <c r="B535" s="1">
        <v>534.86900000000003</v>
      </c>
      <c r="C535" s="1">
        <v>4.3999999999999997E-2</v>
      </c>
      <c r="I535"/>
      <c r="J535" s="6"/>
      <c r="R535"/>
      <c r="S535" s="6"/>
      <c r="AA535"/>
      <c r="AB535" s="6"/>
      <c r="AJ535"/>
      <c r="AK535" s="6"/>
    </row>
    <row r="536" spans="2:37" x14ac:dyDescent="0.2">
      <c r="B536" s="1">
        <v>535.87699999999995</v>
      </c>
      <c r="C536" s="1">
        <v>4.2500000000000003E-2</v>
      </c>
      <c r="I536"/>
      <c r="J536" s="6"/>
      <c r="R536"/>
      <c r="S536" s="6"/>
      <c r="AA536"/>
      <c r="AB536" s="6"/>
      <c r="AJ536"/>
      <c r="AK536" s="6"/>
    </row>
    <row r="537" spans="2:37" x14ac:dyDescent="0.2">
      <c r="B537" s="1">
        <v>536.88499999999999</v>
      </c>
      <c r="C537" s="1">
        <v>4.3999999999999997E-2</v>
      </c>
      <c r="I537"/>
      <c r="J537" s="6"/>
      <c r="R537"/>
      <c r="S537" s="6"/>
      <c r="AA537"/>
      <c r="AB537" s="6"/>
      <c r="AJ537"/>
      <c r="AK537" s="6"/>
    </row>
    <row r="538" spans="2:37" x14ac:dyDescent="0.2">
      <c r="B538" s="1">
        <v>537.89400000000001</v>
      </c>
      <c r="C538" s="1">
        <v>5.1999999999999998E-2</v>
      </c>
      <c r="I538"/>
      <c r="J538" s="6"/>
      <c r="R538"/>
      <c r="S538" s="6"/>
      <c r="AA538"/>
      <c r="AB538" s="6"/>
      <c r="AJ538"/>
      <c r="AK538" s="6"/>
    </row>
    <row r="539" spans="2:37" x14ac:dyDescent="0.2">
      <c r="B539" s="1">
        <v>538.90099999999995</v>
      </c>
      <c r="C539" s="1">
        <v>5.2499999999999998E-2</v>
      </c>
      <c r="I539"/>
      <c r="J539" s="6"/>
      <c r="R539"/>
      <c r="S539" s="6"/>
      <c r="AA539"/>
      <c r="AB539" s="6"/>
      <c r="AJ539"/>
      <c r="AK539" s="6"/>
    </row>
    <row r="540" spans="2:37" x14ac:dyDescent="0.2">
      <c r="B540" s="1">
        <v>539.90599999999995</v>
      </c>
      <c r="C540" s="1">
        <v>5.3999999999999999E-2</v>
      </c>
      <c r="I540"/>
      <c r="J540" s="6"/>
      <c r="R540"/>
      <c r="S540" s="6"/>
      <c r="AA540"/>
      <c r="AB540" s="6"/>
      <c r="AJ540"/>
      <c r="AK540" s="6"/>
    </row>
    <row r="541" spans="2:37" x14ac:dyDescent="0.2">
      <c r="B541" s="1">
        <v>540.91200000000003</v>
      </c>
      <c r="C541" s="1">
        <v>5.7000000000000002E-2</v>
      </c>
      <c r="I541"/>
      <c r="J541" s="6"/>
      <c r="R541"/>
      <c r="S541" s="6"/>
      <c r="AA541"/>
      <c r="AB541" s="6"/>
      <c r="AJ541"/>
      <c r="AK541" s="6"/>
    </row>
    <row r="542" spans="2:37" x14ac:dyDescent="0.2">
      <c r="B542" s="1">
        <v>541.91999999999996</v>
      </c>
      <c r="C542" s="1">
        <v>5.6000000000000001E-2</v>
      </c>
      <c r="I542"/>
      <c r="J542" s="6"/>
      <c r="R542"/>
      <c r="S542" s="6"/>
      <c r="AA542"/>
      <c r="AB542" s="6"/>
      <c r="AJ542"/>
      <c r="AK542" s="6"/>
    </row>
    <row r="543" spans="2:37" x14ac:dyDescent="0.2">
      <c r="B543" s="1">
        <v>542.92499999999995</v>
      </c>
      <c r="C543" s="1">
        <v>5.3499999999999999E-2</v>
      </c>
      <c r="I543"/>
      <c r="J543" s="6"/>
      <c r="R543"/>
      <c r="S543" s="6"/>
      <c r="AA543"/>
      <c r="AB543" s="6"/>
      <c r="AJ543"/>
      <c r="AK543" s="6"/>
    </row>
    <row r="544" spans="2:37" x14ac:dyDescent="0.2">
      <c r="B544" s="1">
        <v>543.93100000000004</v>
      </c>
      <c r="C544" s="1">
        <v>5.8500000000000003E-2</v>
      </c>
      <c r="I544"/>
      <c r="J544" s="6"/>
      <c r="R544"/>
      <c r="S544" s="6"/>
      <c r="AA544"/>
      <c r="AB544" s="6"/>
      <c r="AJ544"/>
      <c r="AK544" s="6"/>
    </row>
    <row r="545" spans="2:37" x14ac:dyDescent="0.2">
      <c r="B545" s="1">
        <v>544.93700000000001</v>
      </c>
      <c r="C545" s="1">
        <v>0.06</v>
      </c>
      <c r="I545"/>
      <c r="J545" s="6"/>
      <c r="R545"/>
      <c r="S545" s="6"/>
      <c r="AA545"/>
      <c r="AB545" s="6"/>
      <c r="AJ545"/>
      <c r="AK545" s="6"/>
    </row>
    <row r="546" spans="2:37" x14ac:dyDescent="0.2">
      <c r="B546" s="1">
        <v>545.94100000000003</v>
      </c>
      <c r="C546" s="1">
        <v>5.7000000000000002E-2</v>
      </c>
      <c r="I546"/>
      <c r="J546" s="6"/>
      <c r="R546"/>
      <c r="S546" s="6"/>
      <c r="AA546"/>
      <c r="AB546" s="6"/>
      <c r="AJ546"/>
      <c r="AK546" s="6"/>
    </row>
    <row r="547" spans="2:37" x14ac:dyDescent="0.2">
      <c r="B547" s="1">
        <v>546.94600000000003</v>
      </c>
      <c r="C547" s="1">
        <v>5.9499999999999997E-2</v>
      </c>
      <c r="I547"/>
      <c r="J547" s="6"/>
      <c r="R547"/>
      <c r="S547" s="6"/>
      <c r="AA547"/>
      <c r="AB547" s="6"/>
      <c r="AJ547"/>
      <c r="AK547" s="6"/>
    </row>
    <row r="548" spans="2:37" x14ac:dyDescent="0.2">
      <c r="B548" s="1">
        <v>547.95000000000005</v>
      </c>
      <c r="C548" s="1">
        <v>5.2499999999999998E-2</v>
      </c>
      <c r="I548"/>
      <c r="J548" s="6"/>
      <c r="R548"/>
      <c r="S548" s="6"/>
      <c r="AA548"/>
      <c r="AB548" s="6"/>
      <c r="AJ548"/>
      <c r="AK548" s="6"/>
    </row>
    <row r="549" spans="2:37" x14ac:dyDescent="0.2">
      <c r="B549" s="1">
        <v>548.95600000000002</v>
      </c>
      <c r="C549" s="1">
        <v>5.6500000000000002E-2</v>
      </c>
      <c r="I549"/>
      <c r="J549" s="6"/>
      <c r="R549"/>
      <c r="S549" s="6"/>
      <c r="AA549"/>
      <c r="AB549" s="6"/>
      <c r="AJ549"/>
      <c r="AK549" s="6"/>
    </row>
    <row r="550" spans="2:37" x14ac:dyDescent="0.2">
      <c r="B550" s="1">
        <v>549.95899999999995</v>
      </c>
      <c r="C550" s="1">
        <v>5.7000000000000002E-2</v>
      </c>
      <c r="I550"/>
      <c r="J550" s="6"/>
      <c r="R550"/>
      <c r="S550" s="6"/>
      <c r="AA550"/>
      <c r="AB550" s="6"/>
      <c r="AJ550"/>
      <c r="AK550" s="6"/>
    </row>
    <row r="551" spans="2:37" x14ac:dyDescent="0.2">
      <c r="B551" s="1">
        <v>550.96600000000001</v>
      </c>
      <c r="C551" s="1">
        <v>5.7000000000000002E-2</v>
      </c>
      <c r="I551"/>
      <c r="J551" s="6"/>
      <c r="R551"/>
      <c r="S551" s="6"/>
      <c r="AA551"/>
      <c r="AB551" s="6"/>
      <c r="AJ551"/>
      <c r="AK551" s="6"/>
    </row>
    <row r="552" spans="2:37" x14ac:dyDescent="0.2">
      <c r="B552" s="1">
        <v>551.97299999999996</v>
      </c>
      <c r="C552" s="1">
        <v>6.2E-2</v>
      </c>
      <c r="I552"/>
      <c r="J552" s="6"/>
      <c r="R552"/>
      <c r="S552" s="6"/>
      <c r="AA552"/>
      <c r="AB552" s="6"/>
      <c r="AJ552"/>
      <c r="AK552" s="6"/>
    </row>
    <row r="553" spans="2:37" x14ac:dyDescent="0.2">
      <c r="B553" s="1">
        <v>552.98</v>
      </c>
      <c r="C553" s="1">
        <v>6.2E-2</v>
      </c>
      <c r="I553"/>
      <c r="J553" s="6"/>
      <c r="R553"/>
      <c r="S553" s="6"/>
      <c r="AA553"/>
      <c r="AB553" s="6"/>
      <c r="AJ553"/>
      <c r="AK553" s="6"/>
    </row>
    <row r="554" spans="2:37" x14ac:dyDescent="0.2">
      <c r="B554" s="1">
        <v>553.98800000000006</v>
      </c>
      <c r="C554" s="1">
        <v>6.8000000000000005E-2</v>
      </c>
      <c r="I554"/>
      <c r="J554" s="6"/>
      <c r="R554"/>
      <c r="S554" s="6"/>
      <c r="AA554"/>
      <c r="AB554" s="6"/>
      <c r="AJ554"/>
      <c r="AK554" s="6"/>
    </row>
    <row r="555" spans="2:37" x14ac:dyDescent="0.2">
      <c r="B555" s="1">
        <v>554.99199999999996</v>
      </c>
      <c r="C555" s="1">
        <v>6.2E-2</v>
      </c>
      <c r="I555"/>
      <c r="J555" s="6"/>
      <c r="R555"/>
      <c r="S555" s="6"/>
      <c r="AA555"/>
      <c r="AB555" s="6"/>
      <c r="AJ555"/>
      <c r="AK555" s="6"/>
    </row>
    <row r="556" spans="2:37" x14ac:dyDescent="0.2">
      <c r="B556" s="1">
        <v>555.99599999999998</v>
      </c>
      <c r="C556" s="1">
        <v>5.9499999999999997E-2</v>
      </c>
      <c r="I556"/>
      <c r="J556" s="6"/>
      <c r="R556"/>
      <c r="S556" s="6"/>
      <c r="AA556"/>
      <c r="AB556" s="6"/>
      <c r="AJ556"/>
      <c r="AK556" s="6"/>
    </row>
    <row r="557" spans="2:37" x14ac:dyDescent="0.2">
      <c r="B557" s="1">
        <v>557.00199999999995</v>
      </c>
      <c r="C557" s="1">
        <v>5.8500000000000003E-2</v>
      </c>
      <c r="I557"/>
      <c r="J557" s="6"/>
      <c r="R557"/>
      <c r="S557" s="6"/>
      <c r="AA557"/>
      <c r="AB557" s="6"/>
      <c r="AJ557"/>
      <c r="AK557" s="6"/>
    </row>
    <row r="558" spans="2:37" x14ac:dyDescent="0.2">
      <c r="B558" s="1">
        <v>558.00699999999995</v>
      </c>
      <c r="C558" s="1">
        <v>4.9500000000000002E-2</v>
      </c>
      <c r="I558"/>
      <c r="J558" s="6"/>
      <c r="R558"/>
      <c r="S558" s="6"/>
      <c r="AA558"/>
      <c r="AB558" s="6"/>
      <c r="AJ558"/>
      <c r="AK558" s="6"/>
    </row>
    <row r="559" spans="2:37" x14ac:dyDescent="0.2">
      <c r="B559" s="1">
        <v>559.01300000000003</v>
      </c>
      <c r="C559" s="1">
        <v>4.9000000000000002E-2</v>
      </c>
      <c r="I559"/>
      <c r="J559" s="6"/>
      <c r="R559"/>
      <c r="S559" s="6"/>
      <c r="AA559"/>
      <c r="AB559" s="6"/>
      <c r="AJ559"/>
      <c r="AK559" s="6"/>
    </row>
    <row r="560" spans="2:37" x14ac:dyDescent="0.2">
      <c r="B560" s="1">
        <v>560.02</v>
      </c>
      <c r="C560" s="1">
        <v>3.85E-2</v>
      </c>
      <c r="I560"/>
      <c r="J560" s="6"/>
      <c r="R560"/>
      <c r="S560" s="6"/>
      <c r="AA560"/>
      <c r="AB560" s="6"/>
      <c r="AJ560"/>
      <c r="AK560" s="6"/>
    </row>
    <row r="561" spans="2:37" x14ac:dyDescent="0.2">
      <c r="B561" s="1">
        <v>561.02499999999998</v>
      </c>
      <c r="C561" s="1">
        <v>4.8000000000000001E-2</v>
      </c>
      <c r="I561"/>
      <c r="J561" s="6"/>
      <c r="R561"/>
      <c r="S561" s="6"/>
      <c r="AA561"/>
      <c r="AB561" s="6"/>
      <c r="AJ561"/>
      <c r="AK561" s="6"/>
    </row>
    <row r="562" spans="2:37" x14ac:dyDescent="0.2">
      <c r="B562" s="1">
        <v>562.03099999999995</v>
      </c>
      <c r="C562" s="1">
        <v>4.7E-2</v>
      </c>
      <c r="I562"/>
      <c r="J562" s="6"/>
      <c r="R562"/>
      <c r="S562" s="6"/>
      <c r="AA562"/>
      <c r="AB562" s="6"/>
      <c r="AJ562"/>
      <c r="AK562" s="6"/>
    </row>
    <row r="563" spans="2:37" x14ac:dyDescent="0.2">
      <c r="B563" s="1">
        <v>563.04</v>
      </c>
      <c r="C563" s="1">
        <v>3.95E-2</v>
      </c>
      <c r="I563"/>
      <c r="J563" s="6"/>
      <c r="R563"/>
      <c r="S563" s="6"/>
      <c r="AA563"/>
      <c r="AB563" s="6"/>
      <c r="AJ563"/>
      <c r="AK563" s="6"/>
    </row>
    <row r="564" spans="2:37" x14ac:dyDescent="0.2">
      <c r="B564" s="1">
        <v>564.04600000000005</v>
      </c>
      <c r="C564" s="1">
        <v>4.3999999999999997E-2</v>
      </c>
      <c r="I564"/>
      <c r="J564" s="6"/>
      <c r="R564"/>
      <c r="S564" s="6"/>
      <c r="AA564"/>
      <c r="AB564" s="6"/>
      <c r="AJ564"/>
      <c r="AK564" s="6"/>
    </row>
    <row r="565" spans="2:37" x14ac:dyDescent="0.2">
      <c r="B565" s="1">
        <v>565.05100000000004</v>
      </c>
      <c r="C565" s="1">
        <v>4.4999999999999998E-2</v>
      </c>
      <c r="I565"/>
      <c r="J565" s="6"/>
      <c r="R565"/>
      <c r="S565" s="6"/>
      <c r="AA565"/>
      <c r="AB565" s="6"/>
      <c r="AJ565"/>
      <c r="AK565" s="6"/>
    </row>
    <row r="566" spans="2:37" x14ac:dyDescent="0.2">
      <c r="B566" s="1">
        <v>566.05600000000004</v>
      </c>
      <c r="C566" s="1">
        <v>4.4499999999999998E-2</v>
      </c>
      <c r="I566"/>
      <c r="J566" s="6"/>
      <c r="R566"/>
      <c r="S566" s="6"/>
      <c r="AA566"/>
      <c r="AB566" s="6"/>
      <c r="AJ566"/>
      <c r="AK566" s="6"/>
    </row>
    <row r="567" spans="2:37" x14ac:dyDescent="0.2">
      <c r="B567" s="1">
        <v>567.06100000000004</v>
      </c>
      <c r="C567" s="1">
        <v>4.5499999999999999E-2</v>
      </c>
      <c r="I567"/>
      <c r="J567" s="6"/>
      <c r="R567"/>
      <c r="S567" s="6"/>
      <c r="AA567"/>
      <c r="AB567" s="6"/>
      <c r="AJ567"/>
      <c r="AK567" s="6"/>
    </row>
    <row r="568" spans="2:37" x14ac:dyDescent="0.2">
      <c r="B568" s="1">
        <v>568.06500000000005</v>
      </c>
      <c r="C568" s="1">
        <v>4.9500000000000002E-2</v>
      </c>
      <c r="I568"/>
      <c r="J568" s="6"/>
      <c r="R568"/>
      <c r="S568" s="6"/>
      <c r="AA568"/>
      <c r="AB568" s="6"/>
      <c r="AJ568"/>
      <c r="AK568" s="6"/>
    </row>
    <row r="569" spans="2:37" x14ac:dyDescent="0.2">
      <c r="B569" s="1">
        <v>569.07000000000005</v>
      </c>
      <c r="C569" s="1">
        <v>4.5999999999999999E-2</v>
      </c>
      <c r="I569"/>
      <c r="J569" s="6"/>
      <c r="R569"/>
      <c r="S569" s="6"/>
      <c r="AA569"/>
      <c r="AB569" s="6"/>
      <c r="AJ569"/>
      <c r="AK569" s="6"/>
    </row>
    <row r="570" spans="2:37" x14ac:dyDescent="0.2">
      <c r="B570" s="1">
        <v>570.07500000000005</v>
      </c>
      <c r="C570" s="1">
        <v>4.9000000000000002E-2</v>
      </c>
      <c r="I570"/>
      <c r="J570" s="6"/>
      <c r="R570"/>
      <c r="S570" s="6"/>
      <c r="AA570"/>
      <c r="AB570" s="6"/>
      <c r="AJ570"/>
      <c r="AK570" s="6"/>
    </row>
    <row r="571" spans="2:37" x14ac:dyDescent="0.2">
      <c r="B571" s="1">
        <v>571.08299999999997</v>
      </c>
      <c r="C571" s="1">
        <v>5.0999999999999997E-2</v>
      </c>
      <c r="I571"/>
      <c r="J571" s="6"/>
      <c r="R571"/>
      <c r="S571" s="6"/>
      <c r="AA571"/>
      <c r="AB571" s="6"/>
      <c r="AJ571"/>
      <c r="AK571" s="6"/>
    </row>
    <row r="572" spans="2:37" x14ac:dyDescent="0.2">
      <c r="B572" s="1">
        <v>572.09</v>
      </c>
      <c r="C572" s="1">
        <v>4.9500000000000002E-2</v>
      </c>
      <c r="I572"/>
      <c r="J572" s="6"/>
      <c r="R572"/>
      <c r="S572" s="6"/>
      <c r="AA572"/>
      <c r="AB572" s="6"/>
      <c r="AJ572"/>
      <c r="AK572" s="6"/>
    </row>
    <row r="573" spans="2:37" x14ac:dyDescent="0.2">
      <c r="B573" s="1">
        <v>573.09500000000003</v>
      </c>
      <c r="C573" s="1">
        <v>5.3999999999999999E-2</v>
      </c>
      <c r="I573"/>
      <c r="J573" s="6"/>
      <c r="R573"/>
      <c r="S573" s="6"/>
      <c r="AA573"/>
      <c r="AB573" s="6"/>
      <c r="AJ573"/>
      <c r="AK573" s="6"/>
    </row>
    <row r="574" spans="2:37" x14ac:dyDescent="0.2">
      <c r="B574" s="1">
        <v>574.10199999999998</v>
      </c>
      <c r="C574" s="1">
        <v>5.45E-2</v>
      </c>
      <c r="I574"/>
      <c r="J574" s="6"/>
      <c r="R574"/>
      <c r="S574" s="6"/>
      <c r="AA574"/>
      <c r="AB574" s="6"/>
      <c r="AJ574"/>
      <c r="AK574" s="6"/>
    </row>
    <row r="575" spans="2:37" x14ac:dyDescent="0.2">
      <c r="B575" s="1">
        <v>575.10699999999997</v>
      </c>
      <c r="C575" s="1">
        <v>5.3499999999999999E-2</v>
      </c>
      <c r="I575"/>
      <c r="J575" s="6"/>
      <c r="R575"/>
      <c r="S575" s="6"/>
      <c r="AA575"/>
      <c r="AB575" s="6"/>
      <c r="AJ575"/>
      <c r="AK575" s="6"/>
    </row>
    <row r="576" spans="2:37" x14ac:dyDescent="0.2">
      <c r="B576" s="1">
        <v>576.11300000000006</v>
      </c>
      <c r="C576" s="1">
        <v>5.5E-2</v>
      </c>
      <c r="I576"/>
      <c r="J576" s="6"/>
      <c r="R576"/>
      <c r="S576" s="6"/>
      <c r="AA576"/>
      <c r="AB576" s="6"/>
      <c r="AJ576"/>
      <c r="AK576" s="6"/>
    </row>
    <row r="577" spans="1:37" x14ac:dyDescent="0.2">
      <c r="B577" s="1">
        <v>577.12</v>
      </c>
      <c r="C577" s="1">
        <v>5.0500000000000003E-2</v>
      </c>
      <c r="I577"/>
      <c r="J577" s="6"/>
      <c r="R577"/>
      <c r="S577" s="6"/>
      <c r="AA577"/>
      <c r="AB577" s="6"/>
      <c r="AJ577"/>
      <c r="AK577" s="6"/>
    </row>
    <row r="578" spans="1:37" x14ac:dyDescent="0.2">
      <c r="B578" s="1">
        <v>578.12900000000002</v>
      </c>
      <c r="C578" s="1">
        <v>5.0500000000000003E-2</v>
      </c>
      <c r="I578"/>
      <c r="J578" s="6"/>
      <c r="R578"/>
      <c r="S578" s="6"/>
      <c r="AA578"/>
      <c r="AB578" s="6"/>
      <c r="AJ578"/>
      <c r="AK578" s="6"/>
    </row>
    <row r="579" spans="1:37" x14ac:dyDescent="0.2">
      <c r="B579" s="1">
        <v>579.13599999999997</v>
      </c>
      <c r="C579" s="1">
        <v>4.4999999999999998E-2</v>
      </c>
      <c r="I579"/>
      <c r="J579" s="6"/>
      <c r="R579"/>
      <c r="S579" s="6"/>
      <c r="AA579"/>
      <c r="AB579" s="6"/>
      <c r="AJ579"/>
      <c r="AK579" s="6"/>
    </row>
    <row r="580" spans="1:37" x14ac:dyDescent="0.2">
      <c r="B580" s="1">
        <v>580.13900000000001</v>
      </c>
      <c r="C580" s="1">
        <v>4.4999999999999998E-2</v>
      </c>
      <c r="I580"/>
      <c r="J580" s="6"/>
      <c r="R580"/>
      <c r="S580" s="6"/>
      <c r="AA580"/>
      <c r="AB580" s="6"/>
      <c r="AJ580"/>
      <c r="AK580" s="6"/>
    </row>
    <row r="581" spans="1:37" x14ac:dyDescent="0.2">
      <c r="B581" s="1">
        <v>581.14599999999996</v>
      </c>
      <c r="C581" s="1">
        <v>5.0999999999999997E-2</v>
      </c>
      <c r="I581"/>
      <c r="J581" s="6"/>
      <c r="R581"/>
      <c r="S581" s="6"/>
      <c r="AA581"/>
      <c r="AB581" s="6"/>
      <c r="AJ581"/>
      <c r="AK581" s="6"/>
    </row>
    <row r="582" spans="1:37" x14ac:dyDescent="0.2">
      <c r="B582" s="1">
        <v>582.15300000000002</v>
      </c>
      <c r="C582" s="1">
        <v>5.3999999999999999E-2</v>
      </c>
      <c r="I582"/>
      <c r="J582" s="6"/>
      <c r="R582"/>
      <c r="S582" s="6"/>
      <c r="AA582"/>
      <c r="AB582" s="6"/>
      <c r="AJ582"/>
      <c r="AK582" s="6"/>
    </row>
    <row r="583" spans="1:37" x14ac:dyDescent="0.2">
      <c r="B583" s="1">
        <v>583.16099999999994</v>
      </c>
      <c r="C583" s="1">
        <v>5.1999999999999998E-2</v>
      </c>
      <c r="I583"/>
      <c r="J583" s="6"/>
      <c r="R583"/>
      <c r="S583" s="6"/>
      <c r="AA583"/>
      <c r="AB583" s="6"/>
      <c r="AJ583"/>
      <c r="AK583" s="6"/>
    </row>
    <row r="584" spans="1:37" x14ac:dyDescent="0.2">
      <c r="B584" s="1">
        <v>584.16600000000005</v>
      </c>
      <c r="C584" s="1">
        <v>5.7000000000000002E-2</v>
      </c>
      <c r="I584"/>
      <c r="J584" s="6"/>
      <c r="R584"/>
      <c r="S584" s="6"/>
      <c r="AA584"/>
      <c r="AB584" s="6"/>
      <c r="AJ584"/>
      <c r="AK584" s="6"/>
    </row>
    <row r="585" spans="1:37" x14ac:dyDescent="0.2">
      <c r="B585" s="1">
        <v>585.16999999999996</v>
      </c>
      <c r="C585" s="1">
        <v>5.0500000000000003E-2</v>
      </c>
      <c r="I585"/>
      <c r="J585" s="6"/>
      <c r="R585"/>
      <c r="S585" s="6"/>
      <c r="AA585"/>
      <c r="AB585" s="6"/>
      <c r="AJ585"/>
      <c r="AK585" s="6"/>
    </row>
    <row r="586" spans="1:37" x14ac:dyDescent="0.2">
      <c r="B586" s="1">
        <v>586.17499999999995</v>
      </c>
      <c r="C586" s="1">
        <v>4.7E-2</v>
      </c>
      <c r="I586"/>
      <c r="J586" s="6"/>
      <c r="R586"/>
      <c r="S586" s="6"/>
      <c r="AA586"/>
      <c r="AB586" s="6"/>
      <c r="AJ586"/>
      <c r="AK586" s="6"/>
    </row>
    <row r="587" spans="1:37" x14ac:dyDescent="0.2">
      <c r="B587" s="1">
        <v>587.17999999999995</v>
      </c>
      <c r="C587" s="1">
        <v>4.7500000000000001E-2</v>
      </c>
      <c r="I587"/>
      <c r="J587" s="6"/>
      <c r="R587"/>
      <c r="S587" s="6"/>
      <c r="AA587"/>
      <c r="AB587" s="6"/>
      <c r="AJ587"/>
      <c r="AK587" s="6"/>
    </row>
    <row r="588" spans="1:37" x14ac:dyDescent="0.2">
      <c r="B588" s="1">
        <v>588.18499999999995</v>
      </c>
      <c r="C588" s="1">
        <v>4.3999999999999997E-2</v>
      </c>
      <c r="I588"/>
      <c r="J588" s="6"/>
      <c r="R588"/>
      <c r="S588" s="6"/>
      <c r="AA588"/>
      <c r="AB588" s="6"/>
      <c r="AJ588"/>
      <c r="AK588" s="6"/>
    </row>
    <row r="589" spans="1:37" x14ac:dyDescent="0.2">
      <c r="B589" s="1">
        <v>589.19399999999996</v>
      </c>
      <c r="C589" s="1">
        <v>4.9000000000000002E-2</v>
      </c>
      <c r="I589"/>
      <c r="J589" s="6"/>
      <c r="R589"/>
      <c r="S589" s="6"/>
      <c r="AA589"/>
      <c r="AB589" s="6"/>
      <c r="AJ589"/>
      <c r="AK589" s="6"/>
    </row>
    <row r="590" spans="1:37" x14ac:dyDescent="0.2">
      <c r="A590" s="5"/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FE8E8-7BB5-E84A-B031-EDB4D0E713E7}">
  <dimension ref="A1:BG150"/>
  <sheetViews>
    <sheetView zoomScale="25" zoomScaleNormal="200" workbookViewId="0">
      <selection activeCell="AH17" sqref="AH17"/>
    </sheetView>
  </sheetViews>
  <sheetFormatPr baseColWidth="10" defaultRowHeight="16" x14ac:dyDescent="0.2"/>
  <cols>
    <col min="31" max="31" width="13.5" customWidth="1"/>
    <col min="32" max="32" width="16.33203125" customWidth="1"/>
    <col min="33" max="33" width="22.33203125" customWidth="1"/>
    <col min="34" max="34" width="24" customWidth="1"/>
    <col min="35" max="35" width="18.33203125" customWidth="1"/>
    <col min="36" max="36" width="13.5" customWidth="1"/>
    <col min="37" max="37" width="11" customWidth="1"/>
    <col min="38" max="38" width="16" customWidth="1"/>
    <col min="39" max="39" width="4.33203125" customWidth="1"/>
    <col min="40" max="40" width="15.33203125" customWidth="1"/>
    <col min="41" max="41" width="28.83203125" customWidth="1"/>
    <col min="42" max="42" width="25.83203125" customWidth="1"/>
    <col min="43" max="43" width="17.33203125" customWidth="1"/>
    <col min="44" max="44" width="13.83203125" customWidth="1"/>
    <col min="46" max="46" width="11.33203125" customWidth="1"/>
    <col min="47" max="47" width="4.5" customWidth="1"/>
    <col min="49" max="49" width="7.83203125" customWidth="1"/>
    <col min="50" max="50" width="29.1640625" customWidth="1"/>
    <col min="51" max="51" width="18.6640625" customWidth="1"/>
    <col min="52" max="52" width="13.83203125" customWidth="1"/>
    <col min="56" max="56" width="16" customWidth="1"/>
    <col min="57" max="57" width="42.83203125" customWidth="1"/>
  </cols>
  <sheetData>
    <row r="1" spans="1:59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</row>
    <row r="2" spans="1:59" x14ac:dyDescent="0.2">
      <c r="A2" s="5"/>
      <c r="AD2" s="6"/>
    </row>
    <row r="3" spans="1:59" x14ac:dyDescent="0.2">
      <c r="A3" s="5"/>
      <c r="AE3" s="41" t="s">
        <v>9</v>
      </c>
      <c r="AF3" s="41"/>
      <c r="AG3" s="41"/>
      <c r="AH3" s="41"/>
      <c r="AI3" s="41"/>
      <c r="AJ3" s="41"/>
    </row>
    <row r="4" spans="1:59" x14ac:dyDescent="0.2">
      <c r="A4" s="5"/>
    </row>
    <row r="5" spans="1:59" x14ac:dyDescent="0.2">
      <c r="A5" s="5"/>
      <c r="AF5" s="11" t="s">
        <v>12</v>
      </c>
      <c r="AG5" s="11" t="s">
        <v>10</v>
      </c>
    </row>
    <row r="6" spans="1:59" x14ac:dyDescent="0.2">
      <c r="A6" s="5"/>
      <c r="AF6" s="11" t="s">
        <v>13</v>
      </c>
      <c r="AG6" s="11">
        <v>0.02</v>
      </c>
    </row>
    <row r="7" spans="1:59" x14ac:dyDescent="0.2">
      <c r="A7" s="5"/>
      <c r="AF7" s="11" t="s">
        <v>14</v>
      </c>
      <c r="AG7" s="11">
        <v>-0.09</v>
      </c>
    </row>
    <row r="8" spans="1:59" x14ac:dyDescent="0.2">
      <c r="A8" s="5"/>
      <c r="AF8" s="11" t="s">
        <v>15</v>
      </c>
      <c r="AG8" s="11">
        <v>0.15</v>
      </c>
    </row>
    <row r="9" spans="1:59" x14ac:dyDescent="0.2">
      <c r="A9" s="5"/>
      <c r="AF9" s="11" t="s">
        <v>11</v>
      </c>
      <c r="AG9" s="12">
        <f>AVERAGE(AG6:AG8)</f>
        <v>2.6666666666666668E-2</v>
      </c>
    </row>
    <row r="10" spans="1:59" x14ac:dyDescent="0.2">
      <c r="A10" s="5"/>
    </row>
    <row r="11" spans="1:59" x14ac:dyDescent="0.2">
      <c r="A11" s="5"/>
      <c r="AD11" s="6"/>
      <c r="AE11" s="5"/>
      <c r="AJ11" s="6"/>
    </row>
    <row r="12" spans="1:59" x14ac:dyDescent="0.2">
      <c r="A12" s="5"/>
      <c r="AD12" s="6"/>
      <c r="AE12" s="5"/>
      <c r="AJ12" s="6"/>
    </row>
    <row r="13" spans="1:59" x14ac:dyDescent="0.2">
      <c r="A13" s="5"/>
      <c r="AE13" s="41" t="s">
        <v>16</v>
      </c>
      <c r="AF13" s="41"/>
      <c r="AG13" s="41"/>
      <c r="AH13" s="41"/>
      <c r="AI13" s="41"/>
      <c r="AJ13" s="41"/>
      <c r="AM13" s="41" t="s">
        <v>31</v>
      </c>
      <c r="AN13" s="41"/>
      <c r="AO13" s="41"/>
      <c r="AP13" s="41"/>
      <c r="AQ13" s="41"/>
      <c r="AR13" s="41"/>
      <c r="AS13" s="41"/>
      <c r="AT13" s="41"/>
      <c r="AW13" s="41" t="s">
        <v>37</v>
      </c>
      <c r="AX13" s="41"/>
      <c r="AY13" s="41"/>
      <c r="AZ13" s="41"/>
      <c r="BA13" s="41"/>
      <c r="BC13" s="41" t="s">
        <v>37</v>
      </c>
      <c r="BD13" s="41"/>
      <c r="BE13" s="41"/>
      <c r="BF13" s="41"/>
      <c r="BG13" s="41"/>
    </row>
    <row r="14" spans="1:59" x14ac:dyDescent="0.2">
      <c r="A14" s="5"/>
    </row>
    <row r="15" spans="1:59" x14ac:dyDescent="0.2">
      <c r="A15" s="5"/>
      <c r="AF15" s="29"/>
      <c r="AG15" s="11" t="s">
        <v>29</v>
      </c>
      <c r="AH15" s="11" t="s">
        <v>30</v>
      </c>
      <c r="AI15" s="11"/>
      <c r="AN15" s="13" t="s">
        <v>12</v>
      </c>
      <c r="AO15" s="13" t="s">
        <v>32</v>
      </c>
      <c r="AP15" s="13" t="s">
        <v>33</v>
      </c>
      <c r="AQ15" s="13" t="s">
        <v>34</v>
      </c>
      <c r="AR15" s="13" t="s">
        <v>40</v>
      </c>
      <c r="AS15" s="13" t="s">
        <v>41</v>
      </c>
      <c r="AX15" s="13" t="s">
        <v>39</v>
      </c>
      <c r="AY15" s="13" t="s">
        <v>47</v>
      </c>
      <c r="AZ15" s="13" t="s">
        <v>48</v>
      </c>
      <c r="BA15" s="13" t="s">
        <v>38</v>
      </c>
      <c r="BD15" s="13" t="s">
        <v>39</v>
      </c>
      <c r="BE15" s="13" t="s">
        <v>47</v>
      </c>
      <c r="BF15" s="13" t="s">
        <v>48</v>
      </c>
      <c r="BG15" s="13" t="s">
        <v>38</v>
      </c>
    </row>
    <row r="16" spans="1:59" x14ac:dyDescent="0.2">
      <c r="A16" s="5"/>
      <c r="AF16" s="11" t="s">
        <v>0</v>
      </c>
      <c r="AG16" s="11">
        <v>20.131699999999999</v>
      </c>
      <c r="AH16" s="11">
        <v>0</v>
      </c>
      <c r="AI16" s="11">
        <v>0</v>
      </c>
      <c r="AN16" s="14" t="s">
        <v>13</v>
      </c>
      <c r="AO16" s="14">
        <v>0.02</v>
      </c>
      <c r="AP16" s="19">
        <f>AO16-$AG$9</f>
        <v>-6.666666666666668E-3</v>
      </c>
      <c r="AQ16" s="14">
        <f>$AH$16/$AG$16</f>
        <v>0</v>
      </c>
      <c r="AR16" s="34">
        <f t="shared" ref="AR16:AR30" si="0">$AG$9-AO16</f>
        <v>6.666666666666668E-3</v>
      </c>
      <c r="AS16" s="34">
        <f>AP16+273.15</f>
        <v>273.14333333333332</v>
      </c>
      <c r="AU16" s="14"/>
      <c r="AV16" t="s">
        <v>0</v>
      </c>
      <c r="AX16" s="14" t="s">
        <v>0</v>
      </c>
      <c r="AY16" s="19">
        <f>$AG$16/$AG$22</f>
        <v>1.1174791621334776</v>
      </c>
      <c r="AZ16" s="19">
        <f>AH16/108.94</f>
        <v>0</v>
      </c>
      <c r="BA16" s="19">
        <f>AY16/(AZ16+AY16)</f>
        <v>1</v>
      </c>
      <c r="BD16" s="14" t="s">
        <v>0</v>
      </c>
      <c r="BE16" s="19">
        <f>$AG$16/$AG$22</f>
        <v>1.1174791621334776</v>
      </c>
      <c r="BF16" s="19">
        <v>1</v>
      </c>
      <c r="BG16" s="19">
        <v>1</v>
      </c>
    </row>
    <row r="17" spans="1:59" x14ac:dyDescent="0.2">
      <c r="A17" s="5"/>
      <c r="AF17" s="11" t="s">
        <v>5</v>
      </c>
      <c r="AG17" s="11">
        <v>20.131699999999999</v>
      </c>
      <c r="AH17" s="11">
        <f>AH16+AI17</f>
        <v>0.50900000000000001</v>
      </c>
      <c r="AI17" s="11">
        <v>0.50900000000000001</v>
      </c>
      <c r="AN17" s="14" t="s">
        <v>14</v>
      </c>
      <c r="AO17" s="14">
        <v>-0.09</v>
      </c>
      <c r="AP17" s="19">
        <f t="shared" ref="AP17:AP30" si="1">AO17-$AG$9</f>
        <v>-0.11666666666666667</v>
      </c>
      <c r="AQ17" s="14">
        <f t="shared" ref="AQ17:AQ18" si="2">$AH$16/$AG$16</f>
        <v>0</v>
      </c>
      <c r="AR17" s="34">
        <f t="shared" si="0"/>
        <v>0.11666666666666667</v>
      </c>
      <c r="AS17" s="34">
        <f t="shared" ref="AS17:AS30" si="3">AP17+273.15</f>
        <v>273.0333333333333</v>
      </c>
      <c r="AU17" s="15"/>
      <c r="AV17" t="s">
        <v>5</v>
      </c>
      <c r="AX17" s="14" t="s">
        <v>0</v>
      </c>
      <c r="AY17" s="19">
        <f t="shared" ref="AY17:AY30" si="4">$AG$16/$AG$22</f>
        <v>1.1174791621334776</v>
      </c>
      <c r="AZ17" s="19">
        <f>AH16/108.94</f>
        <v>0</v>
      </c>
      <c r="BA17" s="19">
        <f>AY17/(AZ17+AY17)</f>
        <v>1</v>
      </c>
      <c r="BD17" s="15" t="s">
        <v>5</v>
      </c>
      <c r="BE17" s="20">
        <f t="shared" ref="BE17:BE20" si="5">$AG$16/$AG$22</f>
        <v>1.1174791621334776</v>
      </c>
      <c r="BF17" s="20">
        <f>$AH$17/108.94</f>
        <v>4.6722966770699472E-3</v>
      </c>
      <c r="BG17" s="20">
        <f>BE17/(BF17+BE17)</f>
        <v>0.99583630476939133</v>
      </c>
    </row>
    <row r="18" spans="1:59" x14ac:dyDescent="0.2">
      <c r="A18" s="5"/>
      <c r="AF18" s="11" t="s">
        <v>35</v>
      </c>
      <c r="AG18" s="11">
        <v>20.131699999999999</v>
      </c>
      <c r="AH18" s="11">
        <f t="shared" ref="AH18:AH20" si="6">AH17+AI18</f>
        <v>1.0114000000000001</v>
      </c>
      <c r="AI18" s="11">
        <v>0.50239999999999996</v>
      </c>
      <c r="AN18" s="14" t="s">
        <v>15</v>
      </c>
      <c r="AO18" s="14">
        <v>0.15</v>
      </c>
      <c r="AP18" s="19">
        <f t="shared" si="1"/>
        <v>0.12333333333333332</v>
      </c>
      <c r="AQ18" s="14">
        <f t="shared" si="2"/>
        <v>0</v>
      </c>
      <c r="AR18" s="34">
        <f t="shared" si="0"/>
        <v>-0.12333333333333332</v>
      </c>
      <c r="AS18" s="34">
        <f t="shared" si="3"/>
        <v>273.27333333333331</v>
      </c>
      <c r="AU18" s="16"/>
      <c r="AV18" t="s">
        <v>35</v>
      </c>
      <c r="AX18" s="14" t="s">
        <v>0</v>
      </c>
      <c r="AY18" s="19">
        <f t="shared" si="4"/>
        <v>1.1174791621334776</v>
      </c>
      <c r="AZ18" s="19">
        <f>AH16/108.94</f>
        <v>0</v>
      </c>
      <c r="BA18" s="19">
        <f>AY18/(AZ18+AY18)</f>
        <v>1</v>
      </c>
      <c r="BD18" s="16" t="s">
        <v>35</v>
      </c>
      <c r="BE18" s="21">
        <f t="shared" si="5"/>
        <v>1.1174791621334776</v>
      </c>
      <c r="BF18" s="21">
        <f>$AH$18/108.94</f>
        <v>9.2840095465393808E-3</v>
      </c>
      <c r="BG18" s="21">
        <f>BE18/(BF18+BE18)</f>
        <v>0.99176046060087597</v>
      </c>
    </row>
    <row r="19" spans="1:59" x14ac:dyDescent="0.2">
      <c r="A19" s="5"/>
      <c r="AF19" s="11" t="s">
        <v>6</v>
      </c>
      <c r="AG19" s="11">
        <v>20.131699999999999</v>
      </c>
      <c r="AH19" s="11">
        <f t="shared" si="6"/>
        <v>1.5131000000000001</v>
      </c>
      <c r="AI19" s="11">
        <v>0.50170000000000003</v>
      </c>
      <c r="AN19" s="15" t="s">
        <v>26</v>
      </c>
      <c r="AO19" s="15">
        <v>-0.16</v>
      </c>
      <c r="AP19" s="20">
        <f t="shared" si="1"/>
        <v>-0.18666666666666668</v>
      </c>
      <c r="AQ19" s="24">
        <f>$AH$17/$AG$17</f>
        <v>2.5283508099166987E-2</v>
      </c>
      <c r="AR19" s="35">
        <f t="shared" si="0"/>
        <v>0.18666666666666668</v>
      </c>
      <c r="AS19" s="35">
        <f t="shared" si="3"/>
        <v>272.96333333333331</v>
      </c>
      <c r="AU19" s="17"/>
      <c r="AV19" t="s">
        <v>36</v>
      </c>
      <c r="AX19" s="15" t="s">
        <v>5</v>
      </c>
      <c r="AY19" s="20">
        <f t="shared" si="4"/>
        <v>1.1174791621334776</v>
      </c>
      <c r="AZ19" s="20">
        <f>$AH$17/108.94</f>
        <v>4.6722966770699472E-3</v>
      </c>
      <c r="BA19" s="20">
        <f t="shared" ref="BA19" si="7">AY19/(AZ19+AY19)</f>
        <v>0.99583630476939133</v>
      </c>
      <c r="BD19" s="17" t="s">
        <v>36</v>
      </c>
      <c r="BE19" s="22">
        <f t="shared" si="5"/>
        <v>1.1174791621334776</v>
      </c>
      <c r="BF19" s="22">
        <f>$AH$19/108.94</f>
        <v>1.3889296860657244E-2</v>
      </c>
      <c r="BG19" s="22">
        <f>BE19/(BF19+BE19)</f>
        <v>0.98772345406110595</v>
      </c>
    </row>
    <row r="20" spans="1:59" x14ac:dyDescent="0.2">
      <c r="A20" s="5"/>
      <c r="AF20" s="11" t="s">
        <v>8</v>
      </c>
      <c r="AG20" s="11">
        <v>20.131699999999999</v>
      </c>
      <c r="AH20" s="11">
        <f t="shared" si="6"/>
        <v>2.0221</v>
      </c>
      <c r="AI20" s="11">
        <v>0.50900000000000001</v>
      </c>
      <c r="AN20" s="15" t="s">
        <v>17</v>
      </c>
      <c r="AO20" s="15">
        <v>-0.32</v>
      </c>
      <c r="AP20" s="20">
        <f t="shared" si="1"/>
        <v>-0.34666666666666668</v>
      </c>
      <c r="AQ20" s="24">
        <f>$AH$17/$AG$17</f>
        <v>2.5283508099166987E-2</v>
      </c>
      <c r="AR20" s="35">
        <f t="shared" si="0"/>
        <v>0.34666666666666668</v>
      </c>
      <c r="AS20" s="35">
        <f>AP20+273.15</f>
        <v>272.80333333333328</v>
      </c>
      <c r="AU20" s="18"/>
      <c r="AV20" t="s">
        <v>8</v>
      </c>
      <c r="AX20" s="15" t="s">
        <v>5</v>
      </c>
      <c r="AY20" s="20">
        <f t="shared" si="4"/>
        <v>1.1174791621334776</v>
      </c>
      <c r="AZ20" s="20">
        <f>$AH$17/108.94</f>
        <v>4.6722966770699472E-3</v>
      </c>
      <c r="BA20" s="20">
        <f t="shared" ref="BA20:BA21" si="8">AY20/(AZ20+AY20)</f>
        <v>0.99583630476939133</v>
      </c>
      <c r="BD20" s="18" t="s">
        <v>8</v>
      </c>
      <c r="BE20" s="23">
        <f t="shared" si="5"/>
        <v>1.1174791621334776</v>
      </c>
      <c r="BF20" s="23">
        <f>$AH$20/108.94</f>
        <v>1.856159353772719E-2</v>
      </c>
      <c r="BG20" s="23">
        <f>BE20/(BF20+BE20)</f>
        <v>0.98366115524899411</v>
      </c>
    </row>
    <row r="21" spans="1:59" x14ac:dyDescent="0.2">
      <c r="A21" s="5"/>
      <c r="AF21" s="29"/>
      <c r="AG21" s="29"/>
      <c r="AH21" s="29"/>
      <c r="AN21" s="15" t="s">
        <v>18</v>
      </c>
      <c r="AO21" s="15">
        <v>-0.17</v>
      </c>
      <c r="AP21" s="20">
        <f t="shared" si="1"/>
        <v>-0.19666666666666668</v>
      </c>
      <c r="AQ21" s="24">
        <f t="shared" ref="AQ21" si="9">$AH$17/$AG$17</f>
        <v>2.5283508099166987E-2</v>
      </c>
      <c r="AR21" s="35">
        <f t="shared" si="0"/>
        <v>0.19666666666666668</v>
      </c>
      <c r="AS21" s="35">
        <f t="shared" si="3"/>
        <v>272.95333333333332</v>
      </c>
      <c r="AX21" s="15" t="s">
        <v>5</v>
      </c>
      <c r="AY21" s="20">
        <f t="shared" si="4"/>
        <v>1.1174791621334776</v>
      </c>
      <c r="AZ21" s="20">
        <f t="shared" ref="AZ21" si="10">$AH$17/108.94</f>
        <v>4.6722966770699472E-3</v>
      </c>
      <c r="BA21" s="20">
        <f t="shared" si="8"/>
        <v>0.99583630476939133</v>
      </c>
      <c r="BB21" s="30"/>
      <c r="BD21" s="13"/>
      <c r="BE21" s="31"/>
      <c r="BF21" s="31"/>
      <c r="BG21" s="31"/>
    </row>
    <row r="22" spans="1:59" x14ac:dyDescent="0.2">
      <c r="A22" s="5"/>
      <c r="AF22" s="29" t="s">
        <v>49</v>
      </c>
      <c r="AG22" s="29">
        <v>18.015280000000001</v>
      </c>
      <c r="AH22" s="29"/>
      <c r="AN22" s="16" t="s">
        <v>19</v>
      </c>
      <c r="AO22" s="16">
        <v>-1.49</v>
      </c>
      <c r="AP22" s="21">
        <f t="shared" si="1"/>
        <v>-1.5166666666666666</v>
      </c>
      <c r="AQ22" s="25">
        <f>$AH$18/$AG$18</f>
        <v>5.0239175032411577E-2</v>
      </c>
      <c r="AR22" s="36">
        <f t="shared" si="0"/>
        <v>1.5166666666666666</v>
      </c>
      <c r="AS22" s="36">
        <f t="shared" si="3"/>
        <v>271.63333333333333</v>
      </c>
      <c r="AX22" s="16" t="s">
        <v>35</v>
      </c>
      <c r="AY22" s="21">
        <f t="shared" si="4"/>
        <v>1.1174791621334776</v>
      </c>
      <c r="AZ22" s="21">
        <f>$AH$18/108.94</f>
        <v>9.2840095465393808E-3</v>
      </c>
      <c r="BA22" s="21">
        <f t="shared" ref="BA22:BA30" si="11">AY22/(AZ22+AY22)</f>
        <v>0.99176046060087597</v>
      </c>
      <c r="BB22" s="30"/>
    </row>
    <row r="23" spans="1:59" x14ac:dyDescent="0.2">
      <c r="A23" s="5"/>
      <c r="AF23" s="29"/>
      <c r="AG23" s="29"/>
      <c r="AH23" s="29"/>
      <c r="AN23" s="16" t="s">
        <v>27</v>
      </c>
      <c r="AO23" s="16">
        <v>-1.66</v>
      </c>
      <c r="AP23" s="21">
        <f t="shared" si="1"/>
        <v>-1.6866666666666665</v>
      </c>
      <c r="AQ23" s="25">
        <f t="shared" ref="AQ23:AQ24" si="12">$AH$18/$AG$18</f>
        <v>5.0239175032411577E-2</v>
      </c>
      <c r="AR23" s="36">
        <f t="shared" si="0"/>
        <v>1.6866666666666665</v>
      </c>
      <c r="AS23" s="36">
        <f t="shared" si="3"/>
        <v>271.46333333333331</v>
      </c>
      <c r="AX23" s="16" t="s">
        <v>35</v>
      </c>
      <c r="AY23" s="21">
        <f t="shared" si="4"/>
        <v>1.1174791621334776</v>
      </c>
      <c r="AZ23" s="21">
        <f t="shared" ref="AZ23:AZ24" si="13">$AH$18/108.94</f>
        <v>9.2840095465393808E-3</v>
      </c>
      <c r="BA23" s="21">
        <f t="shared" si="11"/>
        <v>0.99176046060087597</v>
      </c>
      <c r="BB23" s="30"/>
      <c r="BD23" s="33"/>
      <c r="BE23" s="39"/>
      <c r="BF23" s="39"/>
      <c r="BG23" s="39"/>
    </row>
    <row r="24" spans="1:59" x14ac:dyDescent="0.2">
      <c r="A24" s="5"/>
      <c r="AF24" s="29"/>
      <c r="AG24" s="29"/>
      <c r="AH24" s="29"/>
      <c r="AN24" s="16" t="s">
        <v>20</v>
      </c>
      <c r="AO24" s="16">
        <v>-1.53</v>
      </c>
      <c r="AP24" s="21">
        <f t="shared" si="1"/>
        <v>-1.5566666666666666</v>
      </c>
      <c r="AQ24" s="25">
        <f t="shared" si="12"/>
        <v>5.0239175032411577E-2</v>
      </c>
      <c r="AR24" s="36">
        <f>$AG$9-AO24</f>
        <v>1.5566666666666666</v>
      </c>
      <c r="AS24" s="36">
        <f t="shared" si="3"/>
        <v>271.59333333333331</v>
      </c>
      <c r="AX24" s="16" t="s">
        <v>35</v>
      </c>
      <c r="AY24" s="21">
        <f t="shared" si="4"/>
        <v>1.1174791621334776</v>
      </c>
      <c r="AZ24" s="21">
        <f t="shared" si="13"/>
        <v>9.2840095465393808E-3</v>
      </c>
      <c r="BA24" s="21">
        <f t="shared" si="11"/>
        <v>0.99176046060087597</v>
      </c>
      <c r="BB24" s="30"/>
      <c r="BD24" s="33"/>
      <c r="BE24" s="39"/>
      <c r="BF24" s="39"/>
      <c r="BG24" s="39"/>
    </row>
    <row r="25" spans="1:59" x14ac:dyDescent="0.2">
      <c r="A25" s="5"/>
      <c r="AF25" s="29"/>
      <c r="AG25" s="29"/>
      <c r="AH25" s="29"/>
      <c r="AN25" s="17" t="s">
        <v>21</v>
      </c>
      <c r="AO25" s="17">
        <v>-2.75</v>
      </c>
      <c r="AP25" s="22">
        <f t="shared" si="1"/>
        <v>-2.7766666666666668</v>
      </c>
      <c r="AQ25" s="26">
        <f>$AH$19/$AG$19</f>
        <v>7.5160070932906817E-2</v>
      </c>
      <c r="AR25" s="37">
        <f t="shared" si="0"/>
        <v>2.7766666666666668</v>
      </c>
      <c r="AS25" s="37">
        <f t="shared" si="3"/>
        <v>270.37333333333333</v>
      </c>
      <c r="AX25" s="17" t="s">
        <v>36</v>
      </c>
      <c r="AY25" s="22">
        <f t="shared" si="4"/>
        <v>1.1174791621334776</v>
      </c>
      <c r="AZ25" s="22">
        <f>$AH$19/108.94</f>
        <v>1.3889296860657244E-2</v>
      </c>
      <c r="BA25" s="22">
        <f t="shared" si="11"/>
        <v>0.98772345406110595</v>
      </c>
      <c r="BB25" s="30"/>
    </row>
    <row r="26" spans="1:59" x14ac:dyDescent="0.2">
      <c r="A26" s="5"/>
      <c r="AF26" s="29"/>
      <c r="AG26" s="29"/>
      <c r="AH26" s="29"/>
      <c r="AN26" s="17" t="s">
        <v>28</v>
      </c>
      <c r="AO26" s="17">
        <v>-2.15</v>
      </c>
      <c r="AP26" s="22">
        <f t="shared" si="1"/>
        <v>-2.1766666666666667</v>
      </c>
      <c r="AQ26" s="26">
        <f t="shared" ref="AQ26:AQ27" si="14">$AH$19/$AG$19</f>
        <v>7.5160070932906817E-2</v>
      </c>
      <c r="AR26" s="37">
        <f t="shared" si="0"/>
        <v>2.1766666666666667</v>
      </c>
      <c r="AS26" s="37">
        <f t="shared" si="3"/>
        <v>270.9733333333333</v>
      </c>
      <c r="AX26" s="17" t="s">
        <v>36</v>
      </c>
      <c r="AY26" s="22">
        <f t="shared" si="4"/>
        <v>1.1174791621334776</v>
      </c>
      <c r="AZ26" s="22">
        <f t="shared" ref="AZ26:AZ27" si="15">$AH$19/108.94</f>
        <v>1.3889296860657244E-2</v>
      </c>
      <c r="BA26" s="22">
        <f t="shared" si="11"/>
        <v>0.98772345406110595</v>
      </c>
      <c r="BB26" s="30"/>
      <c r="BD26" s="33"/>
      <c r="BE26" s="39"/>
      <c r="BF26" s="39"/>
      <c r="BG26" s="39"/>
    </row>
    <row r="27" spans="1:59" x14ac:dyDescent="0.2">
      <c r="A27" s="5"/>
      <c r="AF27" s="29"/>
      <c r="AG27" s="29"/>
      <c r="AH27" s="29"/>
      <c r="AN27" s="17" t="s">
        <v>22</v>
      </c>
      <c r="AO27" s="17">
        <v>-2.2799999999999998</v>
      </c>
      <c r="AP27" s="22">
        <f t="shared" si="1"/>
        <v>-2.3066666666666666</v>
      </c>
      <c r="AQ27" s="26">
        <f t="shared" si="14"/>
        <v>7.5160070932906817E-2</v>
      </c>
      <c r="AR27" s="37">
        <f t="shared" si="0"/>
        <v>2.3066666666666666</v>
      </c>
      <c r="AS27" s="37">
        <f t="shared" si="3"/>
        <v>270.84333333333331</v>
      </c>
      <c r="AX27" s="17" t="s">
        <v>36</v>
      </c>
      <c r="AY27" s="22">
        <f t="shared" si="4"/>
        <v>1.1174791621334776</v>
      </c>
      <c r="AZ27" s="22">
        <f t="shared" si="15"/>
        <v>1.3889296860657244E-2</v>
      </c>
      <c r="BA27" s="22">
        <f t="shared" si="11"/>
        <v>0.98772345406110595</v>
      </c>
      <c r="BB27" s="30"/>
      <c r="BD27" s="33"/>
      <c r="BE27" s="39"/>
      <c r="BF27" s="39"/>
      <c r="BG27" s="39"/>
    </row>
    <row r="28" spans="1:59" x14ac:dyDescent="0.2">
      <c r="A28" s="5"/>
      <c r="AF28" s="29"/>
      <c r="AG28" s="29"/>
      <c r="AH28" s="29"/>
      <c r="AN28" s="18" t="s">
        <v>23</v>
      </c>
      <c r="AO28" s="18">
        <v>-3.98</v>
      </c>
      <c r="AP28" s="23">
        <f t="shared" si="1"/>
        <v>-4.0066666666666668</v>
      </c>
      <c r="AQ28" s="27">
        <f>$AH$20/$AG$20</f>
        <v>0.10044357903207381</v>
      </c>
      <c r="AR28" s="38">
        <f t="shared" si="0"/>
        <v>4.0066666666666668</v>
      </c>
      <c r="AS28" s="38">
        <f t="shared" si="3"/>
        <v>269.14333333333332</v>
      </c>
      <c r="AX28" s="18" t="s">
        <v>8</v>
      </c>
      <c r="AY28" s="23">
        <f t="shared" si="4"/>
        <v>1.1174791621334776</v>
      </c>
      <c r="AZ28" s="23">
        <f>$AH$20/108.94</f>
        <v>1.856159353772719E-2</v>
      </c>
      <c r="BA28" s="23">
        <f t="shared" si="11"/>
        <v>0.98366115524899411</v>
      </c>
      <c r="BB28" s="30"/>
    </row>
    <row r="29" spans="1:59" x14ac:dyDescent="0.2">
      <c r="A29" s="5"/>
      <c r="AF29" s="29"/>
      <c r="AG29" s="29"/>
      <c r="AH29" s="29"/>
      <c r="AN29" s="18" t="s">
        <v>24</v>
      </c>
      <c r="AO29" s="18">
        <v>-3.72</v>
      </c>
      <c r="AP29" s="23">
        <f t="shared" si="1"/>
        <v>-3.746666666666667</v>
      </c>
      <c r="AQ29" s="27">
        <f t="shared" ref="AQ29:AQ30" si="16">$AH$20/$AG$20</f>
        <v>0.10044357903207381</v>
      </c>
      <c r="AR29" s="38">
        <f t="shared" si="0"/>
        <v>3.746666666666667</v>
      </c>
      <c r="AS29" s="38">
        <f t="shared" si="3"/>
        <v>269.40333333333331</v>
      </c>
      <c r="AX29" s="18" t="s">
        <v>8</v>
      </c>
      <c r="AY29" s="23">
        <f t="shared" si="4"/>
        <v>1.1174791621334776</v>
      </c>
      <c r="AZ29" s="23">
        <f t="shared" ref="AZ29:AZ30" si="17">$AH$20/108.94</f>
        <v>1.856159353772719E-2</v>
      </c>
      <c r="BA29" s="23">
        <f t="shared" si="11"/>
        <v>0.98366115524899411</v>
      </c>
      <c r="BB29" s="30"/>
      <c r="BD29" s="33"/>
      <c r="BE29" s="39"/>
      <c r="BF29" s="39"/>
      <c r="BG29" s="39"/>
    </row>
    <row r="30" spans="1:59" x14ac:dyDescent="0.2">
      <c r="A30" s="5"/>
      <c r="AF30" s="29"/>
      <c r="AG30" s="29"/>
      <c r="AH30" s="29"/>
      <c r="AN30" s="18" t="s">
        <v>25</v>
      </c>
      <c r="AO30" s="18">
        <v>-3.5</v>
      </c>
      <c r="AP30" s="23">
        <f t="shared" si="1"/>
        <v>-3.5266666666666668</v>
      </c>
      <c r="AQ30" s="27">
        <f t="shared" si="16"/>
        <v>0.10044357903207381</v>
      </c>
      <c r="AR30" s="38">
        <f t="shared" si="0"/>
        <v>3.5266666666666668</v>
      </c>
      <c r="AS30" s="38">
        <f t="shared" si="3"/>
        <v>269.62333333333333</v>
      </c>
      <c r="AX30" s="18" t="s">
        <v>8</v>
      </c>
      <c r="AY30" s="23">
        <f t="shared" si="4"/>
        <v>1.1174791621334776</v>
      </c>
      <c r="AZ30" s="23">
        <f t="shared" si="17"/>
        <v>1.856159353772719E-2</v>
      </c>
      <c r="BA30" s="23">
        <f t="shared" si="11"/>
        <v>0.98366115524899411</v>
      </c>
      <c r="BB30" s="30"/>
      <c r="BD30" s="33"/>
      <c r="BE30" s="39"/>
      <c r="BF30" s="39"/>
      <c r="BG30" s="39"/>
    </row>
    <row r="31" spans="1:59" x14ac:dyDescent="0.2">
      <c r="A31" s="5"/>
      <c r="AX31" s="13"/>
      <c r="AY31" s="31"/>
      <c r="AZ31" s="31"/>
      <c r="BA31" s="31"/>
    </row>
    <row r="32" spans="1:59" x14ac:dyDescent="0.2">
      <c r="A32" s="5"/>
    </row>
    <row r="33" spans="1:40" x14ac:dyDescent="0.2">
      <c r="A33" s="5"/>
      <c r="AD33" s="6"/>
    </row>
    <row r="34" spans="1:40" x14ac:dyDescent="0.2">
      <c r="A34" s="5"/>
      <c r="AD34" s="6"/>
    </row>
    <row r="35" spans="1:40" x14ac:dyDescent="0.2">
      <c r="A35" s="5"/>
      <c r="AD35" s="6"/>
    </row>
    <row r="36" spans="1:40" x14ac:dyDescent="0.2">
      <c r="A36" s="5"/>
      <c r="AD36" s="6"/>
    </row>
    <row r="37" spans="1:40" x14ac:dyDescent="0.2">
      <c r="A37" s="5"/>
      <c r="AD37" s="6"/>
      <c r="AN37" s="28"/>
    </row>
    <row r="38" spans="1:40" x14ac:dyDescent="0.2">
      <c r="A38" s="5"/>
      <c r="AD38" s="6"/>
      <c r="AN38" s="28"/>
    </row>
    <row r="39" spans="1:40" x14ac:dyDescent="0.2">
      <c r="A39" s="5"/>
      <c r="AD39" s="6"/>
      <c r="AN39" s="28"/>
    </row>
    <row r="40" spans="1:40" x14ac:dyDescent="0.2">
      <c r="A40" s="5"/>
      <c r="AD40" s="6"/>
      <c r="AN40" s="28"/>
    </row>
    <row r="41" spans="1:40" x14ac:dyDescent="0.2">
      <c r="A41" s="5"/>
      <c r="AD41" s="6"/>
      <c r="AN41" s="28"/>
    </row>
    <row r="42" spans="1:40" x14ac:dyDescent="0.2">
      <c r="A42" s="5"/>
      <c r="AD42" s="6"/>
    </row>
    <row r="43" spans="1:40" x14ac:dyDescent="0.2">
      <c r="A43" s="5"/>
      <c r="AD43" s="6"/>
    </row>
    <row r="44" spans="1:40" x14ac:dyDescent="0.2">
      <c r="A44" s="5"/>
      <c r="AD44" s="6"/>
    </row>
    <row r="45" spans="1:40" x14ac:dyDescent="0.2">
      <c r="A45" s="5"/>
      <c r="AD45" s="6"/>
    </row>
    <row r="46" spans="1:40" x14ac:dyDescent="0.2">
      <c r="A46" s="5"/>
      <c r="AD46" s="6"/>
    </row>
    <row r="47" spans="1:40" x14ac:dyDescent="0.2">
      <c r="A47" s="5"/>
      <c r="AD47" s="6"/>
    </row>
    <row r="48" spans="1:40" x14ac:dyDescent="0.2">
      <c r="A48" s="5"/>
      <c r="AD48" s="6"/>
    </row>
    <row r="49" spans="1:34" x14ac:dyDescent="0.2">
      <c r="A49" s="5"/>
      <c r="AD49" s="6"/>
    </row>
    <row r="50" spans="1:34" x14ac:dyDescent="0.2">
      <c r="A50" s="5"/>
      <c r="AD50" s="6"/>
    </row>
    <row r="51" spans="1:34" x14ac:dyDescent="0.2">
      <c r="A51" s="5"/>
      <c r="AD51" s="6"/>
    </row>
    <row r="52" spans="1:34" x14ac:dyDescent="0.2">
      <c r="A52" s="5"/>
      <c r="AD52" s="6"/>
    </row>
    <row r="53" spans="1:34" x14ac:dyDescent="0.2">
      <c r="A53" s="5"/>
      <c r="AD53" s="6"/>
    </row>
    <row r="54" spans="1:34" x14ac:dyDescent="0.2">
      <c r="A54" s="5"/>
      <c r="AD54" s="6"/>
    </row>
    <row r="55" spans="1:34" x14ac:dyDescent="0.2">
      <c r="A55" s="5"/>
      <c r="AD55" s="6"/>
    </row>
    <row r="56" spans="1:34" x14ac:dyDescent="0.2">
      <c r="A56" s="5"/>
      <c r="AD56" s="6"/>
    </row>
    <row r="57" spans="1:34" x14ac:dyDescent="0.2">
      <c r="A57" s="5"/>
      <c r="AD57" s="6"/>
      <c r="AH57" t="s">
        <v>53</v>
      </c>
    </row>
    <row r="58" spans="1:34" x14ac:dyDescent="0.2">
      <c r="A58" s="5"/>
      <c r="AD58" s="6"/>
      <c r="AH58" t="s">
        <v>54</v>
      </c>
    </row>
    <row r="59" spans="1:34" ht="23" customHeight="1" x14ac:dyDescent="0.2">
      <c r="A59" s="5"/>
      <c r="AD59" s="6"/>
      <c r="AF59" s="10"/>
      <c r="AG59" s="10"/>
    </row>
    <row r="60" spans="1:34" x14ac:dyDescent="0.2">
      <c r="A60" s="5"/>
      <c r="AD60" s="6"/>
    </row>
    <row r="61" spans="1:34" x14ac:dyDescent="0.2">
      <c r="A61" s="5"/>
      <c r="AD61" s="6"/>
    </row>
    <row r="62" spans="1:34" x14ac:dyDescent="0.2">
      <c r="A62" s="5"/>
      <c r="AD62" s="6"/>
    </row>
    <row r="63" spans="1:34" x14ac:dyDescent="0.2">
      <c r="A63" s="5"/>
      <c r="AD63" s="6"/>
    </row>
    <row r="64" spans="1:34" x14ac:dyDescent="0.2">
      <c r="A64" s="5"/>
      <c r="AD64" s="6"/>
    </row>
    <row r="65" spans="1:30" x14ac:dyDescent="0.2">
      <c r="A65" s="5"/>
      <c r="AD65" s="6"/>
    </row>
    <row r="66" spans="1:30" x14ac:dyDescent="0.2">
      <c r="A66" s="5"/>
      <c r="AD66" s="6"/>
    </row>
    <row r="67" spans="1:30" x14ac:dyDescent="0.2">
      <c r="A67" s="5"/>
      <c r="AD67" s="6"/>
    </row>
    <row r="68" spans="1:30" x14ac:dyDescent="0.2">
      <c r="A68" s="5"/>
      <c r="AD68" s="6"/>
    </row>
    <row r="69" spans="1:30" x14ac:dyDescent="0.2">
      <c r="A69" s="5"/>
      <c r="AD69" s="6"/>
    </row>
    <row r="70" spans="1:30" x14ac:dyDescent="0.2">
      <c r="A70" s="5"/>
      <c r="AD70" s="6"/>
    </row>
    <row r="71" spans="1:30" x14ac:dyDescent="0.2">
      <c r="A71" s="5"/>
      <c r="AD71" s="6"/>
    </row>
    <row r="72" spans="1:30" x14ac:dyDescent="0.2">
      <c r="A72" s="5"/>
      <c r="AD72" s="6"/>
    </row>
    <row r="73" spans="1:30" x14ac:dyDescent="0.2">
      <c r="A73" s="5"/>
      <c r="AD73" s="6"/>
    </row>
    <row r="74" spans="1:30" x14ac:dyDescent="0.2">
      <c r="A74" s="5"/>
      <c r="AD74" s="6"/>
    </row>
    <row r="75" spans="1:30" x14ac:dyDescent="0.2">
      <c r="A75" s="5"/>
      <c r="AD75" s="6"/>
    </row>
    <row r="76" spans="1:30" x14ac:dyDescent="0.2">
      <c r="A76" s="5"/>
      <c r="AD76" s="6"/>
    </row>
    <row r="77" spans="1:30" x14ac:dyDescent="0.2">
      <c r="A77" s="5"/>
      <c r="AD77" s="6"/>
    </row>
    <row r="78" spans="1:30" x14ac:dyDescent="0.2">
      <c r="A78" s="5"/>
      <c r="AD78" s="6"/>
    </row>
    <row r="79" spans="1:30" x14ac:dyDescent="0.2">
      <c r="A79" s="5"/>
      <c r="AD79" s="6"/>
    </row>
    <row r="80" spans="1:30" x14ac:dyDescent="0.2">
      <c r="A80" s="5"/>
      <c r="AD80" s="6"/>
    </row>
    <row r="81" spans="1:38" x14ac:dyDescent="0.2">
      <c r="A81" s="5"/>
      <c r="AD81" s="6"/>
    </row>
    <row r="82" spans="1:38" x14ac:dyDescent="0.2">
      <c r="A82" s="5"/>
      <c r="AD82" s="6"/>
    </row>
    <row r="83" spans="1:38" x14ac:dyDescent="0.2">
      <c r="A83" s="5"/>
      <c r="AD83" s="6"/>
    </row>
    <row r="84" spans="1:38" x14ac:dyDescent="0.2">
      <c r="A84" s="5"/>
      <c r="AD84" s="6"/>
    </row>
    <row r="85" spans="1:38" x14ac:dyDescent="0.2">
      <c r="A85" s="5"/>
      <c r="AD85" s="6"/>
    </row>
    <row r="86" spans="1:38" ht="27" customHeight="1" x14ac:dyDescent="0.2">
      <c r="A86" s="5"/>
      <c r="AD86" s="6"/>
      <c r="AF86" s="13" t="s">
        <v>43</v>
      </c>
      <c r="AG86" s="13"/>
      <c r="AH86" s="13" t="s">
        <v>44</v>
      </c>
      <c r="AI86" s="13" t="s">
        <v>50</v>
      </c>
      <c r="AJ86" s="13" t="s">
        <v>52</v>
      </c>
      <c r="AL86" s="40" t="s">
        <v>51</v>
      </c>
    </row>
    <row r="87" spans="1:38" ht="27" customHeight="1" x14ac:dyDescent="0.2">
      <c r="A87" s="5"/>
      <c r="AD87" s="6"/>
      <c r="AF87" s="13" t="s">
        <v>42</v>
      </c>
      <c r="AG87" s="13"/>
      <c r="AH87" s="13" t="s">
        <v>45</v>
      </c>
      <c r="AI87" s="32" t="s">
        <v>46</v>
      </c>
      <c r="AJ87" s="33"/>
    </row>
    <row r="88" spans="1:38" x14ac:dyDescent="0.2">
      <c r="A88" s="5"/>
      <c r="AD88" s="6"/>
    </row>
    <row r="89" spans="1:38" x14ac:dyDescent="0.2">
      <c r="A89" s="5"/>
      <c r="AD89" s="6"/>
      <c r="AF89" t="s">
        <v>55</v>
      </c>
    </row>
    <row r="90" spans="1:38" x14ac:dyDescent="0.2">
      <c r="A90" s="5"/>
      <c r="AD90" s="6"/>
      <c r="AF90" t="s">
        <v>56</v>
      </c>
    </row>
    <row r="91" spans="1:38" x14ac:dyDescent="0.2">
      <c r="A91" s="5"/>
      <c r="AD91" s="6"/>
    </row>
    <row r="92" spans="1:38" x14ac:dyDescent="0.2">
      <c r="A92" s="5"/>
      <c r="AD92" s="6"/>
    </row>
    <row r="93" spans="1:38" x14ac:dyDescent="0.2">
      <c r="A93" s="5"/>
      <c r="AD93" s="6"/>
    </row>
    <row r="94" spans="1:38" x14ac:dyDescent="0.2">
      <c r="A94" s="5"/>
      <c r="AD94" s="6"/>
    </row>
    <row r="95" spans="1:38" x14ac:dyDescent="0.2">
      <c r="A95" s="5"/>
      <c r="AD95" s="6"/>
    </row>
    <row r="96" spans="1:38" x14ac:dyDescent="0.2">
      <c r="A96" s="5"/>
      <c r="AD96" s="6"/>
    </row>
    <row r="97" spans="1:30" x14ac:dyDescent="0.2">
      <c r="A97" s="5"/>
      <c r="AD97" s="6"/>
    </row>
    <row r="98" spans="1:30" x14ac:dyDescent="0.2">
      <c r="A98" s="5"/>
      <c r="AD98" s="6"/>
    </row>
    <row r="99" spans="1:30" x14ac:dyDescent="0.2">
      <c r="A99" s="5"/>
      <c r="AD99" s="6"/>
    </row>
    <row r="100" spans="1:30" x14ac:dyDescent="0.2">
      <c r="A100" s="5"/>
      <c r="AD100" s="6"/>
    </row>
    <row r="101" spans="1:30" x14ac:dyDescent="0.2">
      <c r="A101" s="5"/>
      <c r="AD101" s="6"/>
    </row>
    <row r="102" spans="1:30" x14ac:dyDescent="0.2">
      <c r="A102" s="5"/>
      <c r="AD102" s="6"/>
    </row>
    <row r="103" spans="1:30" x14ac:dyDescent="0.2">
      <c r="A103" s="5"/>
      <c r="AD103" s="6"/>
    </row>
    <row r="104" spans="1:30" x14ac:dyDescent="0.2">
      <c r="A104" s="5"/>
      <c r="AD104" s="6"/>
    </row>
    <row r="105" spans="1:30" x14ac:dyDescent="0.2">
      <c r="A105" s="5"/>
      <c r="AD105" s="6"/>
    </row>
    <row r="106" spans="1:30" x14ac:dyDescent="0.2">
      <c r="A106" s="5"/>
      <c r="AD106" s="6"/>
    </row>
    <row r="107" spans="1:30" x14ac:dyDescent="0.2">
      <c r="A107" s="5"/>
      <c r="AD107" s="6"/>
    </row>
    <row r="108" spans="1:30" x14ac:dyDescent="0.2">
      <c r="A108" s="5"/>
      <c r="AD108" s="6"/>
    </row>
    <row r="109" spans="1:30" x14ac:dyDescent="0.2">
      <c r="A109" s="5"/>
      <c r="AD109" s="6"/>
    </row>
    <row r="110" spans="1:30" x14ac:dyDescent="0.2">
      <c r="A110" s="5"/>
      <c r="AD110" s="6"/>
    </row>
    <row r="111" spans="1:30" x14ac:dyDescent="0.2">
      <c r="A111" s="5"/>
      <c r="AD111" s="6"/>
    </row>
    <row r="112" spans="1:30" x14ac:dyDescent="0.2">
      <c r="A112" s="5"/>
      <c r="AD112" s="6"/>
    </row>
    <row r="113" spans="1:30" x14ac:dyDescent="0.2">
      <c r="A113" s="5"/>
      <c r="AD113" s="6"/>
    </row>
    <row r="114" spans="1:30" x14ac:dyDescent="0.2">
      <c r="A114" s="5"/>
      <c r="AD114" s="6"/>
    </row>
    <row r="115" spans="1:30" x14ac:dyDescent="0.2">
      <c r="A115" s="5"/>
      <c r="AD115" s="6"/>
    </row>
    <row r="116" spans="1:30" x14ac:dyDescent="0.2">
      <c r="A116" s="5"/>
      <c r="AD116" s="6"/>
    </row>
    <row r="117" spans="1:30" x14ac:dyDescent="0.2">
      <c r="A117" s="5"/>
      <c r="AD117" s="6"/>
    </row>
    <row r="118" spans="1:30" x14ac:dyDescent="0.2">
      <c r="A118" s="5"/>
      <c r="AD118" s="6"/>
    </row>
    <row r="119" spans="1:30" x14ac:dyDescent="0.2">
      <c r="A119" s="5"/>
      <c r="AD119" s="6"/>
    </row>
    <row r="120" spans="1:30" x14ac:dyDescent="0.2">
      <c r="A120" s="5"/>
      <c r="AD120" s="6"/>
    </row>
    <row r="121" spans="1:30" x14ac:dyDescent="0.2">
      <c r="A121" s="5"/>
      <c r="AD121" s="6"/>
    </row>
    <row r="122" spans="1:30" x14ac:dyDescent="0.2">
      <c r="A122" s="5"/>
      <c r="AD122" s="6"/>
    </row>
    <row r="123" spans="1:30" x14ac:dyDescent="0.2">
      <c r="A123" s="5"/>
      <c r="AD123" s="6"/>
    </row>
    <row r="124" spans="1:30" x14ac:dyDescent="0.2">
      <c r="A124" s="5"/>
      <c r="AD124" s="6"/>
    </row>
    <row r="125" spans="1:30" x14ac:dyDescent="0.2">
      <c r="A125" s="5"/>
      <c r="AD125" s="6"/>
    </row>
    <row r="126" spans="1:30" x14ac:dyDescent="0.2">
      <c r="A126" s="5"/>
      <c r="AD126" s="6"/>
    </row>
    <row r="127" spans="1:30" x14ac:dyDescent="0.2">
      <c r="A127" s="5"/>
      <c r="AD127" s="6"/>
    </row>
    <row r="128" spans="1:30" x14ac:dyDescent="0.2">
      <c r="A128" s="5"/>
      <c r="AD128" s="6"/>
    </row>
    <row r="129" spans="1:30" x14ac:dyDescent="0.2">
      <c r="A129" s="5"/>
      <c r="AD129" s="6"/>
    </row>
    <row r="130" spans="1:30" x14ac:dyDescent="0.2">
      <c r="A130" s="5"/>
      <c r="AD130" s="6"/>
    </row>
    <row r="131" spans="1:30" x14ac:dyDescent="0.2">
      <c r="A131" s="5"/>
      <c r="AD131" s="6"/>
    </row>
    <row r="132" spans="1:30" x14ac:dyDescent="0.2">
      <c r="A132" s="5"/>
      <c r="AD132" s="6"/>
    </row>
    <row r="133" spans="1:30" x14ac:dyDescent="0.2">
      <c r="A133" s="5"/>
      <c r="AD133" s="6"/>
    </row>
    <row r="134" spans="1:30" x14ac:dyDescent="0.2">
      <c r="A134" s="5"/>
      <c r="AD134" s="6"/>
    </row>
    <row r="135" spans="1:30" x14ac:dyDescent="0.2">
      <c r="A135" s="5"/>
      <c r="AD135" s="6"/>
    </row>
    <row r="136" spans="1:30" x14ac:dyDescent="0.2">
      <c r="A136" s="5"/>
      <c r="AD136" s="6"/>
    </row>
    <row r="137" spans="1:30" x14ac:dyDescent="0.2">
      <c r="A137" s="5"/>
      <c r="AD137" s="6"/>
    </row>
    <row r="138" spans="1:30" x14ac:dyDescent="0.2">
      <c r="A138" s="5"/>
      <c r="AD138" s="6"/>
    </row>
    <row r="139" spans="1:30" x14ac:dyDescent="0.2">
      <c r="A139" s="5"/>
      <c r="AD139" s="6"/>
    </row>
    <row r="140" spans="1:30" x14ac:dyDescent="0.2">
      <c r="A140" s="5"/>
      <c r="AD140" s="6"/>
    </row>
    <row r="141" spans="1:30" x14ac:dyDescent="0.2">
      <c r="A141" s="5"/>
      <c r="AD141" s="6"/>
    </row>
    <row r="142" spans="1:30" x14ac:dyDescent="0.2">
      <c r="A142" s="5"/>
      <c r="AD142" s="6"/>
    </row>
    <row r="143" spans="1:30" x14ac:dyDescent="0.2">
      <c r="A143" s="5"/>
      <c r="AD143" s="6"/>
    </row>
    <row r="144" spans="1:30" x14ac:dyDescent="0.2">
      <c r="A144" s="5"/>
      <c r="AD144" s="6"/>
    </row>
    <row r="145" spans="1:30" x14ac:dyDescent="0.2">
      <c r="A145" s="5"/>
      <c r="AD145" s="6"/>
    </row>
    <row r="146" spans="1:30" x14ac:dyDescent="0.2">
      <c r="A146" s="5"/>
      <c r="AD146" s="6"/>
    </row>
    <row r="147" spans="1:30" x14ac:dyDescent="0.2">
      <c r="A147" s="5"/>
      <c r="AD147" s="6"/>
    </row>
    <row r="148" spans="1:30" x14ac:dyDescent="0.2">
      <c r="A148" s="5"/>
      <c r="AD148" s="6"/>
    </row>
    <row r="149" spans="1:30" x14ac:dyDescent="0.2">
      <c r="A149" s="5"/>
      <c r="AD149" s="6"/>
    </row>
    <row r="150" spans="1:30" x14ac:dyDescent="0.2">
      <c r="A150" s="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9"/>
    </row>
  </sheetData>
  <mergeCells count="5">
    <mergeCell ref="AE3:AJ3"/>
    <mergeCell ref="AE13:AJ13"/>
    <mergeCell ref="AM13:AT13"/>
    <mergeCell ref="AW13:BA13"/>
    <mergeCell ref="BC13:BG13"/>
  </mergeCells>
  <hyperlinks>
    <hyperlink ref="AL86" r:id="rId1" location=":~:text=Der%20Schmelz%2D%20bzw.,Verunreinigungen%20wie%20Staubpartikel%2C%20Bakterien%20usw." xr:uid="{D5A728EA-9902-AA4E-9B2C-CE77E14B453C}"/>
  </hyperlinks>
  <pageMargins left="0.7" right="0.7" top="0.78740157499999996" bottom="0.78740157499999996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6530-1917-4A4E-A94A-3CEAF7989B3E}">
  <dimension ref="A1"/>
  <sheetViews>
    <sheetView workbookViewId="0"/>
  </sheetViews>
  <sheetFormatPr baseColWidth="10" defaultRowHeight="16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15 Graphen + Gefrierpunkt</vt:lpstr>
      <vt:lpstr>Tabelle4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Sascha Berens</dc:creator>
  <cp:lastModifiedBy>Sascha Berens</cp:lastModifiedBy>
  <dcterms:created xsi:type="dcterms:W3CDTF">2025-05-28T16:40:32Z</dcterms:created>
  <dcterms:modified xsi:type="dcterms:W3CDTF">2025-10-25T14:35:10Z</dcterms:modified>
</cp:coreProperties>
</file>