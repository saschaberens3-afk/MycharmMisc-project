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ire/Documents/UNI/Semester 4/Physikalisch-Chemisches Praktikum/Auszufüllende Templates/"/>
    </mc:Choice>
  </mc:AlternateContent>
  <xr:revisionPtr revIDLastSave="0" documentId="13_ncr:1_{B90E644A-0970-2141-B321-3572F3986B49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p(x) und T(x)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53" i="1"/>
  <c r="H54" i="1"/>
  <c r="H55" i="1"/>
  <c r="H56" i="1"/>
  <c r="H57" i="1"/>
  <c r="H51" i="1"/>
  <c r="G52" i="1"/>
  <c r="G53" i="1"/>
  <c r="G54" i="1"/>
  <c r="G55" i="1"/>
  <c r="G56" i="1"/>
  <c r="G57" i="1"/>
  <c r="G51" i="1"/>
  <c r="F52" i="1"/>
  <c r="F53" i="1"/>
  <c r="F54" i="1"/>
  <c r="F55" i="1"/>
  <c r="F56" i="1"/>
  <c r="F57" i="1"/>
  <c r="F51" i="1"/>
  <c r="C52" i="1"/>
  <c r="C53" i="1"/>
  <c r="C54" i="1"/>
  <c r="C55" i="1"/>
  <c r="C56" i="1"/>
  <c r="C57" i="1"/>
  <c r="C51" i="1"/>
  <c r="C39" i="1"/>
  <c r="B52" i="1"/>
  <c r="B53" i="1"/>
  <c r="B54" i="1"/>
  <c r="B55" i="1"/>
  <c r="B56" i="1"/>
  <c r="B57" i="1"/>
  <c r="B51" i="1"/>
  <c r="B39" i="1"/>
  <c r="I40" i="1"/>
  <c r="I41" i="1"/>
  <c r="I42" i="1"/>
  <c r="I43" i="1"/>
  <c r="I44" i="1"/>
  <c r="I45" i="1"/>
  <c r="I39" i="1"/>
  <c r="H40" i="1"/>
  <c r="H41" i="1"/>
  <c r="H42" i="1"/>
  <c r="H43" i="1"/>
  <c r="H44" i="1"/>
  <c r="H45" i="1"/>
  <c r="H39" i="1"/>
  <c r="G40" i="1"/>
  <c r="G41" i="1"/>
  <c r="G42" i="1"/>
  <c r="G43" i="1"/>
  <c r="G44" i="1"/>
  <c r="G45" i="1"/>
  <c r="G39" i="1"/>
  <c r="F40" i="1"/>
  <c r="F41" i="1"/>
  <c r="F42" i="1"/>
  <c r="F43" i="1"/>
  <c r="F44" i="1"/>
  <c r="F45" i="1"/>
  <c r="F39" i="1"/>
  <c r="C40" i="1"/>
  <c r="C41" i="1"/>
  <c r="C42" i="1"/>
  <c r="C43" i="1"/>
  <c r="C44" i="1"/>
  <c r="C45" i="1"/>
  <c r="B40" i="1"/>
  <c r="B41" i="1"/>
  <c r="B42" i="1"/>
  <c r="B43" i="1"/>
  <c r="B44" i="1"/>
  <c r="B45" i="1"/>
  <c r="D24" i="1"/>
  <c r="D25" i="1"/>
  <c r="D26" i="1"/>
  <c r="D27" i="1"/>
  <c r="D28" i="1"/>
  <c r="D29" i="1"/>
  <c r="D30" i="1"/>
  <c r="D31" i="1"/>
  <c r="D23" i="1"/>
  <c r="B23" i="1"/>
  <c r="C24" i="1"/>
  <c r="C25" i="1"/>
  <c r="C26" i="1"/>
  <c r="C27" i="1"/>
  <c r="C28" i="1"/>
  <c r="C29" i="1"/>
  <c r="C30" i="1"/>
  <c r="C31" i="1"/>
  <c r="C23" i="1"/>
  <c r="B24" i="1"/>
  <c r="B25" i="1"/>
  <c r="B26" i="1"/>
  <c r="B27" i="1"/>
  <c r="B28" i="1"/>
  <c r="B29" i="1"/>
  <c r="B30" i="1"/>
  <c r="B31" i="1"/>
  <c r="I10" i="1"/>
  <c r="I11" i="1"/>
  <c r="I12" i="1"/>
  <c r="I13" i="1"/>
  <c r="I14" i="1"/>
  <c r="I15" i="1"/>
  <c r="I9" i="1"/>
  <c r="H10" i="1"/>
  <c r="H11" i="1"/>
  <c r="H12" i="1"/>
  <c r="H13" i="1"/>
  <c r="H14" i="1"/>
  <c r="H15" i="1"/>
  <c r="H9" i="1"/>
  <c r="G10" i="1"/>
  <c r="G11" i="1"/>
  <c r="G12" i="1"/>
  <c r="G13" i="1"/>
  <c r="G14" i="1"/>
  <c r="G15" i="1"/>
  <c r="G9" i="1"/>
  <c r="F9" i="1"/>
  <c r="F10" i="1"/>
  <c r="F11" i="1"/>
  <c r="F12" i="1"/>
  <c r="F13" i="1"/>
  <c r="F14" i="1"/>
  <c r="F15" i="1"/>
  <c r="A15" i="1"/>
  <c r="A14" i="1"/>
  <c r="A13" i="1"/>
  <c r="A12" i="1"/>
  <c r="A11" i="1"/>
  <c r="A10" i="1"/>
  <c r="A9" i="1"/>
</calcChain>
</file>

<file path=xl/sharedStrings.xml><?xml version="1.0" encoding="utf-8"?>
<sst xmlns="http://schemas.openxmlformats.org/spreadsheetml/2006/main" count="57" uniqueCount="54">
  <si>
    <t>Name</t>
  </si>
  <si>
    <t>Gruppe/Nummer</t>
  </si>
  <si>
    <t>Molvolumenverhältnis</t>
  </si>
  <si>
    <r>
      <t xml:space="preserve"> (V</t>
    </r>
    <r>
      <rPr>
        <vertAlign val="subscript"/>
        <sz val="11"/>
        <color indexed="8"/>
        <rFont val="Calibri"/>
        <family val="2"/>
      </rPr>
      <t>m,B</t>
    </r>
    <r>
      <rPr>
        <sz val="11"/>
        <color theme="1"/>
        <rFont val="Calibri"/>
        <family val="2"/>
        <scheme val="minor"/>
      </rPr>
      <t>/V</t>
    </r>
    <r>
      <rPr>
        <vertAlign val="subscript"/>
        <sz val="11"/>
        <color indexed="8"/>
        <rFont val="Calibri"/>
        <family val="2"/>
      </rPr>
      <t>m,A</t>
    </r>
    <r>
      <rPr>
        <sz val="11"/>
        <color theme="1"/>
        <rFont val="Calibri"/>
        <family val="2"/>
        <scheme val="minor"/>
      </rPr>
      <t>)</t>
    </r>
  </si>
  <si>
    <t>(z.B. Q3)</t>
  </si>
  <si>
    <t>GC-Peakfläche Substanz B</t>
  </si>
  <si>
    <t>GC-Peakfläche Substanz A</t>
  </si>
  <si>
    <t>Kalibrierung Gaschromatographie</t>
  </si>
  <si>
    <t>Peakfläche Substanz B</t>
  </si>
  <si>
    <t>Zusammen mit dem Protokoll im OLAT hochladen</t>
  </si>
  <si>
    <t>p / mbar =</t>
  </si>
  <si>
    <t>Siedediagramm-Messung</t>
  </si>
  <si>
    <r>
      <t xml:space="preserve">Molenbruch (Gas) </t>
    </r>
    <r>
      <rPr>
        <i/>
        <sz val="11"/>
        <color indexed="8"/>
        <rFont val="Calibri"/>
        <family val="2"/>
      </rPr>
      <t>y</t>
    </r>
    <r>
      <rPr>
        <vertAlign val="subscript"/>
        <sz val="11"/>
        <color indexed="8"/>
        <rFont val="Calibri"/>
        <family val="2"/>
      </rPr>
      <t>B</t>
    </r>
  </si>
  <si>
    <r>
      <t>T</t>
    </r>
    <r>
      <rPr>
        <vertAlign val="subscript"/>
        <sz val="11"/>
        <color theme="1"/>
        <rFont val="Calibri"/>
        <family val="2"/>
        <scheme val="minor"/>
      </rPr>
      <t>Siede</t>
    </r>
    <r>
      <rPr>
        <sz val="11"/>
        <color theme="1"/>
        <rFont val="Calibri"/>
        <family val="2"/>
        <scheme val="minor"/>
      </rPr>
      <t xml:space="preserve"> / °C</t>
    </r>
  </si>
  <si>
    <t>Mischungen</t>
  </si>
  <si>
    <t xml:space="preserve"> T / °C =</t>
  </si>
  <si>
    <r>
      <rPr>
        <i/>
        <sz val="11"/>
        <color indexed="8"/>
        <rFont val="Calibri"/>
        <family val="2"/>
      </rPr>
      <t>V</t>
    </r>
    <r>
      <rPr>
        <i/>
        <vertAlign val="subscript"/>
        <sz val="11"/>
        <color indexed="8"/>
        <rFont val="Calibri"/>
        <family val="2"/>
      </rPr>
      <t>A</t>
    </r>
    <r>
      <rPr>
        <sz val="11"/>
        <color indexed="8"/>
        <rFont val="Calibri"/>
        <family val="2"/>
      </rPr>
      <t xml:space="preserve"> / ml              </t>
    </r>
  </si>
  <si>
    <r>
      <rPr>
        <i/>
        <sz val="11"/>
        <color indexed="8"/>
        <rFont val="Calibri"/>
        <family val="2"/>
      </rPr>
      <t>V</t>
    </r>
    <r>
      <rPr>
        <vertAlign val="subscript"/>
        <sz val="11"/>
        <color indexed="8"/>
        <rFont val="Calibri"/>
        <family val="2"/>
      </rPr>
      <t>B</t>
    </r>
    <r>
      <rPr>
        <sz val="11"/>
        <color indexed="8"/>
        <rFont val="Calibri"/>
        <family val="2"/>
      </rPr>
      <t xml:space="preserve"> / ml              </t>
    </r>
  </si>
  <si>
    <t>Fit-Ergebnisse</t>
  </si>
  <si>
    <r>
      <rPr>
        <b/>
        <sz val="11"/>
        <color indexed="8"/>
        <rFont val="Symbol"/>
        <family val="1"/>
        <charset val="2"/>
      </rPr>
      <t xml:space="preserve">W  </t>
    </r>
    <r>
      <rPr>
        <b/>
        <sz val="11"/>
        <color indexed="8"/>
        <rFont val="Calibri"/>
        <family val="2"/>
      </rPr>
      <t xml:space="preserve">  / J mol</t>
    </r>
    <r>
      <rPr>
        <b/>
        <vertAlign val="superscript"/>
        <sz val="11"/>
        <color indexed="8"/>
        <rFont val="Calibri"/>
        <family val="2"/>
      </rPr>
      <t>-1</t>
    </r>
  </si>
  <si>
    <t>Alle orangen Zellen ausfüllen!</t>
  </si>
  <si>
    <t>* Einheiten</t>
  </si>
  <si>
    <t>* Indices (was ist A, was ist B?)</t>
  </si>
  <si>
    <t>BEACHTE:</t>
  </si>
  <si>
    <t>Benennung der Datei nach Filenamenkonvention (s. OLAT)</t>
  </si>
  <si>
    <t>Dampfdruckdaten</t>
  </si>
  <si>
    <t>Peakfläche Substanz  A</t>
  </si>
  <si>
    <r>
      <t xml:space="preserve">         Molenbrüche (flüssig)         </t>
    </r>
    <r>
      <rPr>
        <sz val="12"/>
        <color theme="1"/>
        <rFont val="Calibri"/>
        <family val="2"/>
        <scheme val="minor"/>
      </rPr>
      <t>x</t>
    </r>
    <r>
      <rPr>
        <vertAlign val="subscript"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(</t>
    </r>
    <r>
      <rPr>
        <i/>
        <sz val="12"/>
        <color indexed="8"/>
        <rFont val="Calibri"/>
        <family val="2"/>
      </rPr>
      <t>x</t>
    </r>
    <r>
      <rPr>
        <vertAlign val="subscript"/>
        <sz val="12"/>
        <color rgb="FF000000"/>
        <rFont val="Calibri"/>
        <family val="2"/>
      </rPr>
      <t>B</t>
    </r>
    <r>
      <rPr>
        <sz val="12"/>
        <color indexed="8"/>
        <rFont val="Calibri"/>
        <family val="2"/>
      </rPr>
      <t>)</t>
    </r>
    <r>
      <rPr>
        <vertAlign val="superscript"/>
        <sz val="11"/>
        <color indexed="8"/>
        <rFont val="Calibri"/>
        <family val="2"/>
      </rPr>
      <t xml:space="preserve">            </t>
    </r>
    <r>
      <rPr>
        <sz val="11"/>
        <color indexed="8"/>
        <rFont val="Calibri"/>
        <family val="2"/>
      </rPr>
      <t xml:space="preserve">                                        (bzgl A steigend geordnet)</t>
    </r>
  </si>
  <si>
    <r>
      <t xml:space="preserve">berechneter Partialdruck A auf Basis 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</si>
  <si>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berechneter Partialdruck B auf Basis </t>
    </r>
    <r>
      <rPr>
        <sz val="11"/>
        <color theme="1"/>
        <rFont val="Symbol"/>
        <family val="1"/>
        <charset val="2"/>
      </rPr>
      <t>W</t>
    </r>
  </si>
  <si>
    <r>
      <t xml:space="preserve">berechneter Molenbruch (Gas) </t>
    </r>
    <r>
      <rPr>
        <i/>
        <sz val="11"/>
        <color indexed="8"/>
        <rFont val="Calibri"/>
        <family val="2"/>
      </rPr>
      <t>y</t>
    </r>
    <r>
      <rPr>
        <vertAlign val="subscript"/>
        <sz val="11"/>
        <color indexed="8"/>
        <rFont val="Calibri"/>
        <family val="2"/>
      </rPr>
      <t>B</t>
    </r>
  </si>
  <si>
    <r>
      <t>gemessener p</t>
    </r>
    <r>
      <rPr>
        <vertAlign val="subscript"/>
        <sz val="11"/>
        <color rgb="FF000000"/>
        <rFont val="Calibri"/>
        <family val="2"/>
      </rPr>
      <t>Ges</t>
    </r>
    <r>
      <rPr>
        <sz val="11"/>
        <color rgb="FF000000"/>
        <rFont val="Calibri"/>
        <family val="2"/>
      </rPr>
      <t xml:space="preserve"> / mbar</t>
    </r>
  </si>
  <si>
    <r>
      <t>berechneter  p</t>
    </r>
    <r>
      <rPr>
        <vertAlign val="subscript"/>
        <sz val="11"/>
        <color theme="1"/>
        <rFont val="Calibri"/>
        <family val="2"/>
        <scheme val="minor"/>
      </rPr>
      <t>Ges</t>
    </r>
    <r>
      <rPr>
        <sz val="11"/>
        <color theme="1"/>
        <rFont val="Calibri"/>
        <family val="2"/>
        <scheme val="minor"/>
      </rPr>
      <t xml:space="preserve"> / mbar</t>
    </r>
  </si>
  <si>
    <t>Claire Poorters</t>
  </si>
  <si>
    <t>F2</t>
  </si>
  <si>
    <t>R</t>
  </si>
  <si>
    <t>T / K</t>
  </si>
  <si>
    <r>
      <t>x</t>
    </r>
    <r>
      <rPr>
        <sz val="8"/>
        <color theme="1"/>
        <rFont val="Calibri (Body)"/>
      </rPr>
      <t>B</t>
    </r>
  </si>
  <si>
    <r>
      <t>ln(y</t>
    </r>
    <r>
      <rPr>
        <sz val="8"/>
        <color theme="1"/>
        <rFont val="Calibri (Body)"/>
      </rPr>
      <t>B</t>
    </r>
    <r>
      <rPr>
        <sz val="11"/>
        <color theme="1"/>
        <rFont val="Calibri"/>
        <family val="2"/>
        <scheme val="minor"/>
      </rPr>
      <t>)</t>
    </r>
  </si>
  <si>
    <r>
      <t>ln(y</t>
    </r>
    <r>
      <rPr>
        <sz val="8"/>
        <color theme="1"/>
        <rFont val="Calibri (Body)"/>
      </rPr>
      <t>A</t>
    </r>
    <r>
      <rPr>
        <sz val="11"/>
        <color theme="1"/>
        <rFont val="Calibri"/>
        <family val="2"/>
        <scheme val="minor"/>
      </rPr>
      <t>)</t>
    </r>
  </si>
  <si>
    <t>Tabelle 4</t>
  </si>
  <si>
    <r>
      <t>x</t>
    </r>
    <r>
      <rPr>
        <sz val="8"/>
        <color theme="1"/>
        <rFont val="Calibri (Body)"/>
      </rPr>
      <t>A</t>
    </r>
  </si>
  <si>
    <t>Tabelle 5</t>
  </si>
  <si>
    <r>
      <t>F</t>
    </r>
    <r>
      <rPr>
        <sz val="8"/>
        <color theme="1"/>
        <rFont val="Calibri (Body)"/>
      </rPr>
      <t>A</t>
    </r>
  </si>
  <si>
    <r>
      <t>F</t>
    </r>
    <r>
      <rPr>
        <sz val="8"/>
        <color theme="1"/>
        <rFont val="Calibri (Body)"/>
      </rPr>
      <t>B</t>
    </r>
  </si>
  <si>
    <r>
      <t>x</t>
    </r>
    <r>
      <rPr>
        <sz val="8"/>
        <color theme="1"/>
        <rFont val="Calibri (Body)"/>
      </rPr>
      <t>A</t>
    </r>
    <r>
      <rPr>
        <sz val="11"/>
        <color theme="1"/>
        <rFont val="Calibri"/>
        <family val="2"/>
        <scheme val="minor"/>
      </rPr>
      <t>/x</t>
    </r>
    <r>
      <rPr>
        <sz val="8"/>
        <color theme="1"/>
        <rFont val="Calibri (Body)"/>
      </rPr>
      <t>B</t>
    </r>
  </si>
  <si>
    <r>
      <t>F</t>
    </r>
    <r>
      <rPr>
        <sz val="8"/>
        <color theme="1"/>
        <rFont val="Calibri (Body)"/>
      </rPr>
      <t>A</t>
    </r>
    <r>
      <rPr>
        <sz val="11"/>
        <color theme="1"/>
        <rFont val="Calibri"/>
        <family val="2"/>
        <scheme val="minor"/>
      </rPr>
      <t>/F</t>
    </r>
    <r>
      <rPr>
        <sz val="8"/>
        <color theme="1"/>
        <rFont val="Calibri (Body)"/>
      </rPr>
      <t>B</t>
    </r>
  </si>
  <si>
    <r>
      <t>x</t>
    </r>
    <r>
      <rPr>
        <sz val="8"/>
        <color theme="1"/>
        <rFont val="Calibri (Body)"/>
      </rPr>
      <t>B</t>
    </r>
    <r>
      <rPr>
        <sz val="11"/>
        <color theme="1"/>
        <rFont val="Calibri"/>
        <family val="2"/>
        <scheme val="minor"/>
      </rPr>
      <t>/x</t>
    </r>
    <r>
      <rPr>
        <sz val="8"/>
        <color theme="1"/>
        <rFont val="Calibri (Body)"/>
      </rPr>
      <t>A</t>
    </r>
  </si>
  <si>
    <r>
      <t>F</t>
    </r>
    <r>
      <rPr>
        <sz val="8"/>
        <color theme="1"/>
        <rFont val="Calibri (Body)"/>
      </rPr>
      <t>B</t>
    </r>
    <r>
      <rPr>
        <sz val="11"/>
        <color theme="1"/>
        <rFont val="Calibri"/>
        <family val="2"/>
        <scheme val="minor"/>
      </rPr>
      <t>/F</t>
    </r>
    <r>
      <rPr>
        <sz val="8"/>
        <color theme="1"/>
        <rFont val="Calibri (Body)"/>
      </rPr>
      <t>A</t>
    </r>
  </si>
  <si>
    <r>
      <t>F</t>
    </r>
    <r>
      <rPr>
        <sz val="8"/>
        <color theme="1"/>
        <rFont val="Calibri (Body)"/>
      </rPr>
      <t>A vap</t>
    </r>
  </si>
  <si>
    <r>
      <t>F</t>
    </r>
    <r>
      <rPr>
        <sz val="8"/>
        <color theme="1"/>
        <rFont val="Calibri (Body)"/>
      </rPr>
      <t>B vap</t>
    </r>
  </si>
  <si>
    <r>
      <t xml:space="preserve">T </t>
    </r>
    <r>
      <rPr>
        <sz val="8"/>
        <color theme="1"/>
        <rFont val="Calibri (Body)"/>
      </rPr>
      <t>bp</t>
    </r>
    <r>
      <rPr>
        <sz val="11"/>
        <color theme="1"/>
        <rFont val="Calibri"/>
        <family val="2"/>
        <scheme val="minor"/>
      </rPr>
      <t xml:space="preserve"> / K</t>
    </r>
  </si>
  <si>
    <r>
      <t>y</t>
    </r>
    <r>
      <rPr>
        <sz val="8"/>
        <color theme="1"/>
        <rFont val="Calibri (Body)"/>
      </rPr>
      <t>A vap</t>
    </r>
  </si>
  <si>
    <r>
      <t>y</t>
    </r>
    <r>
      <rPr>
        <sz val="8"/>
        <color theme="1"/>
        <rFont val="Calibri (Body)"/>
      </rPr>
      <t>B vap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</si>
</sst>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vertAlign val="subscript"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vertAlign val="subscript"/>
      <sz val="11"/>
      <color theme="1"/>
      <name val="Calibri"/>
      <family val="2"/>
      <scheme val="minor"/>
    </font>
    <font>
      <i/>
      <vertAlign val="subscript"/>
      <sz val="11"/>
      <color indexed="8"/>
      <name val="Calibri"/>
      <family val="2"/>
    </font>
    <font>
      <b/>
      <sz val="11"/>
      <color indexed="8"/>
      <name val="Symbol"/>
      <family val="1"/>
      <charset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vertAlign val="superscript"/>
      <sz val="11"/>
      <color indexed="8"/>
      <name val="Calibri"/>
      <family val="2"/>
    </font>
    <font>
      <i/>
      <sz val="12"/>
      <color indexed="8"/>
      <name val="Calibri"/>
      <family val="2"/>
    </font>
    <font>
      <sz val="12"/>
      <color indexed="8"/>
      <name val="Calibri"/>
      <family val="2"/>
    </font>
    <font>
      <vertAlign val="subscript"/>
      <sz val="12"/>
      <color theme="1"/>
      <name val="Calibri"/>
      <family val="2"/>
      <scheme val="minor"/>
    </font>
    <font>
      <vertAlign val="subscript"/>
      <sz val="12"/>
      <color rgb="FF000000"/>
      <name val="Calibri"/>
      <family val="2"/>
    </font>
    <font>
      <b/>
      <sz val="11"/>
      <color indexed="8"/>
      <name val="Calibri"/>
      <family val="1"/>
      <charset val="2"/>
    </font>
    <font>
      <sz val="11"/>
      <color theme="1"/>
      <name val="Symbol"/>
      <family val="1"/>
      <charset val="2"/>
    </font>
    <font>
      <sz val="11"/>
      <color rgb="FF000000"/>
      <name val="Calibri"/>
      <family val="2"/>
    </font>
    <font>
      <vertAlign val="subscript"/>
      <sz val="11"/>
      <color rgb="FF000000"/>
      <name val="Calibri"/>
      <family val="2"/>
    </font>
    <font>
      <sz val="8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DCED"/>
        <bgColor indexed="64"/>
      </patternFill>
    </fill>
    <fill>
      <patternFill patternType="solid">
        <fgColor rgb="FFA4DDEE"/>
        <bgColor indexed="64"/>
      </patternFill>
    </fill>
  </fills>
  <borders count="4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right" vertical="top" wrapText="1"/>
      <protection locked="0"/>
    </xf>
    <xf numFmtId="0" fontId="6" fillId="0" borderId="1" xfId="0" applyFont="1" applyBorder="1"/>
    <xf numFmtId="0" fontId="0" fillId="0" borderId="6" xfId="0" applyBorder="1" applyAlignment="1">
      <alignment horizontal="center"/>
    </xf>
    <xf numFmtId="0" fontId="6" fillId="0" borderId="3" xfId="0" applyFont="1" applyBorder="1"/>
    <xf numFmtId="0" fontId="0" fillId="0" borderId="4" xfId="0" applyBorder="1" applyAlignment="1">
      <alignment horizontal="center"/>
    </xf>
    <xf numFmtId="0" fontId="6" fillId="0" borderId="2" xfId="0" applyFont="1" applyBorder="1"/>
    <xf numFmtId="165" fontId="0" fillId="0" borderId="2" xfId="0" applyNumberFormat="1" applyBorder="1"/>
    <xf numFmtId="0" fontId="0" fillId="0" borderId="2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wrapText="1"/>
    </xf>
    <xf numFmtId="0" fontId="0" fillId="0" borderId="11" xfId="0" applyBorder="1" applyAlignment="1">
      <alignment horizontal="right" vertical="top" wrapText="1"/>
    </xf>
    <xf numFmtId="0" fontId="0" fillId="0" borderId="12" xfId="0" applyBorder="1" applyAlignment="1">
      <alignment horizontal="right" vertical="top" wrapText="1"/>
    </xf>
    <xf numFmtId="0" fontId="0" fillId="0" borderId="13" xfId="0" applyBorder="1" applyAlignment="1">
      <alignment horizontal="right" vertical="top" wrapText="1"/>
    </xf>
    <xf numFmtId="0" fontId="0" fillId="0" borderId="6" xfId="0" applyBorder="1"/>
    <xf numFmtId="2" fontId="0" fillId="0" borderId="9" xfId="0" quotePrefix="1" applyNumberFormat="1" applyBorder="1" applyAlignment="1">
      <alignment horizontal="right"/>
    </xf>
    <xf numFmtId="2" fontId="0" fillId="0" borderId="10" xfId="0" quotePrefix="1" applyNumberFormat="1" applyBorder="1" applyAlignment="1">
      <alignment horizontal="right"/>
    </xf>
    <xf numFmtId="0" fontId="11" fillId="2" borderId="16" xfId="0" applyFont="1" applyFill="1" applyBorder="1"/>
    <xf numFmtId="0" fontId="11" fillId="2" borderId="17" xfId="0" applyFont="1" applyFill="1" applyBorder="1"/>
    <xf numFmtId="0" fontId="13" fillId="2" borderId="0" xfId="0" applyFont="1" applyFill="1"/>
    <xf numFmtId="0" fontId="12" fillId="2" borderId="0" xfId="0" applyFont="1" applyFill="1"/>
    <xf numFmtId="0" fontId="0" fillId="2" borderId="0" xfId="0" applyFill="1" applyProtection="1">
      <protection locked="0"/>
    </xf>
    <xf numFmtId="0" fontId="0" fillId="2" borderId="0" xfId="0" applyFill="1"/>
    <xf numFmtId="0" fontId="11" fillId="2" borderId="15" xfId="0" applyFont="1" applyFill="1" applyBorder="1" applyAlignment="1">
      <alignment horizontal="left"/>
    </xf>
    <xf numFmtId="0" fontId="19" fillId="0" borderId="18" xfId="0" applyFont="1" applyBorder="1"/>
    <xf numFmtId="0" fontId="0" fillId="0" borderId="8" xfId="0" applyBorder="1" applyAlignment="1">
      <alignment horizontal="center" wrapText="1"/>
    </xf>
    <xf numFmtId="0" fontId="0" fillId="4" borderId="2" xfId="0" applyFill="1" applyBorder="1" applyProtection="1">
      <protection locked="0"/>
    </xf>
    <xf numFmtId="0" fontId="0" fillId="4" borderId="0" xfId="0" applyFill="1" applyAlignment="1" applyProtection="1">
      <alignment horizontal="center"/>
      <protection locked="0"/>
    </xf>
    <xf numFmtId="0" fontId="0" fillId="4" borderId="0" xfId="0" applyFill="1" applyAlignment="1">
      <alignment horizontal="center"/>
    </xf>
    <xf numFmtId="2" fontId="0" fillId="4" borderId="0" xfId="0" applyNumberFormat="1" applyFill="1"/>
    <xf numFmtId="165" fontId="0" fillId="4" borderId="14" xfId="0" applyNumberFormat="1" applyFill="1" applyBorder="1"/>
    <xf numFmtId="165" fontId="0" fillId="4" borderId="20" xfId="0" applyNumberFormat="1" applyFill="1" applyBorder="1"/>
    <xf numFmtId="165" fontId="0" fillId="4" borderId="9" xfId="0" applyNumberFormat="1" applyFill="1" applyBorder="1"/>
    <xf numFmtId="165" fontId="0" fillId="4" borderId="21" xfId="0" applyNumberFormat="1" applyFill="1" applyBorder="1"/>
    <xf numFmtId="165" fontId="0" fillId="4" borderId="10" xfId="0" applyNumberFormat="1" applyFill="1" applyBorder="1"/>
    <xf numFmtId="164" fontId="0" fillId="4" borderId="4" xfId="0" applyNumberFormat="1" applyFill="1" applyBorder="1"/>
    <xf numFmtId="164" fontId="0" fillId="4" borderId="5" xfId="0" applyNumberFormat="1" applyFill="1" applyBorder="1"/>
    <xf numFmtId="0" fontId="0" fillId="4" borderId="7" xfId="0" applyFill="1" applyBorder="1"/>
    <xf numFmtId="1" fontId="0" fillId="4" borderId="19" xfId="0" applyNumberFormat="1" applyFill="1" applyBorder="1" applyProtection="1">
      <protection locked="0"/>
    </xf>
    <xf numFmtId="0" fontId="2" fillId="0" borderId="20" xfId="0" applyFont="1" applyBorder="1" applyAlignment="1">
      <alignment horizontal="center" vertical="top" wrapText="1"/>
    </xf>
    <xf numFmtId="2" fontId="0" fillId="4" borderId="0" xfId="0" applyNumberFormat="1" applyFill="1" applyBorder="1" applyProtection="1">
      <protection locked="0"/>
    </xf>
    <xf numFmtId="2" fontId="0" fillId="0" borderId="23" xfId="0" quotePrefix="1" applyNumberFormat="1" applyBorder="1" applyAlignment="1">
      <alignment horizontal="right"/>
    </xf>
    <xf numFmtId="2" fontId="0" fillId="4" borderId="0" xfId="0" applyNumberFormat="1" applyFill="1" applyBorder="1"/>
    <xf numFmtId="2" fontId="0" fillId="0" borderId="24" xfId="0" quotePrefix="1" applyNumberFormat="1" applyBorder="1" applyAlignment="1">
      <alignment horizontal="right"/>
    </xf>
    <xf numFmtId="2" fontId="0" fillId="4" borderId="25" xfId="0" applyNumberFormat="1" applyFill="1" applyBorder="1" applyProtection="1">
      <protection locked="0"/>
    </xf>
    <xf numFmtId="0" fontId="6" fillId="0" borderId="2" xfId="0" applyFont="1" applyBorder="1" applyAlignment="1">
      <alignment horizontal="center" vertical="center"/>
    </xf>
    <xf numFmtId="0" fontId="0" fillId="0" borderId="27" xfId="0" applyBorder="1" applyAlignment="1">
      <alignment horizontal="right" vertical="top" wrapText="1"/>
    </xf>
    <xf numFmtId="0" fontId="6" fillId="0" borderId="28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165" fontId="0" fillId="4" borderId="33" xfId="0" applyNumberFormat="1" applyFill="1" applyBorder="1"/>
    <xf numFmtId="2" fontId="0" fillId="4" borderId="34" xfId="0" applyNumberFormat="1" applyFill="1" applyBorder="1"/>
    <xf numFmtId="165" fontId="0" fillId="4" borderId="35" xfId="0" applyNumberFormat="1" applyFill="1" applyBorder="1"/>
    <xf numFmtId="2" fontId="0" fillId="4" borderId="36" xfId="0" applyNumberFormat="1" applyFill="1" applyBorder="1"/>
    <xf numFmtId="165" fontId="0" fillId="4" borderId="37" xfId="0" applyNumberFormat="1" applyFill="1" applyBorder="1" applyAlignment="1">
      <alignment horizontal="right"/>
    </xf>
    <xf numFmtId="2" fontId="0" fillId="4" borderId="38" xfId="0" applyNumberFormat="1" applyFill="1" applyBorder="1" applyProtection="1">
      <protection locked="0"/>
    </xf>
    <xf numFmtId="2" fontId="0" fillId="4" borderId="39" xfId="0" applyNumberFormat="1" applyFill="1" applyBorder="1"/>
    <xf numFmtId="0" fontId="0" fillId="0" borderId="2" xfId="0" applyBorder="1" applyAlignment="1">
      <alignment horizontal="center" vertical="center"/>
    </xf>
    <xf numFmtId="2" fontId="0" fillId="0" borderId="21" xfId="0" quotePrefix="1" applyNumberFormat="1" applyBorder="1" applyAlignment="1">
      <alignment horizontal="right"/>
    </xf>
    <xf numFmtId="2" fontId="0" fillId="0" borderId="22" xfId="0" quotePrefix="1" applyNumberFormat="1" applyBorder="1" applyAlignment="1">
      <alignment horizontal="right"/>
    </xf>
    <xf numFmtId="0" fontId="6" fillId="0" borderId="8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0" fillId="3" borderId="30" xfId="0" applyFill="1" applyBorder="1" applyAlignment="1">
      <alignment horizontal="center"/>
    </xf>
    <xf numFmtId="0" fontId="0" fillId="0" borderId="31" xfId="0" applyBorder="1" applyAlignment="1">
      <alignment horizontal="right" vertical="top" wrapText="1"/>
    </xf>
    <xf numFmtId="0" fontId="21" fillId="0" borderId="32" xfId="0" applyFont="1" applyBorder="1" applyAlignment="1">
      <alignment horizontal="right" vertical="top" wrapText="1"/>
    </xf>
    <xf numFmtId="2" fontId="0" fillId="0" borderId="40" xfId="0" quotePrefix="1" applyNumberFormat="1" applyBorder="1" applyAlignment="1">
      <alignment horizontal="right"/>
    </xf>
    <xf numFmtId="164" fontId="0" fillId="4" borderId="34" xfId="0" applyNumberFormat="1" applyFill="1" applyBorder="1"/>
    <xf numFmtId="2" fontId="0" fillId="4" borderId="35" xfId="0" applyNumberFormat="1" applyFill="1" applyBorder="1"/>
    <xf numFmtId="164" fontId="0" fillId="4" borderId="36" xfId="0" applyNumberFormat="1" applyFill="1" applyBorder="1"/>
    <xf numFmtId="2" fontId="0" fillId="0" borderId="41" xfId="0" quotePrefix="1" applyNumberFormat="1" applyBorder="1" applyAlignment="1">
      <alignment horizontal="right"/>
    </xf>
    <xf numFmtId="2" fontId="0" fillId="0" borderId="42" xfId="0" quotePrefix="1" applyNumberFormat="1" applyBorder="1" applyAlignment="1">
      <alignment horizontal="right"/>
    </xf>
    <xf numFmtId="165" fontId="0" fillId="4" borderId="42" xfId="0" applyNumberFormat="1" applyFill="1" applyBorder="1"/>
    <xf numFmtId="165" fontId="0" fillId="4" borderId="43" xfId="0" applyNumberFormat="1" applyFill="1" applyBorder="1"/>
    <xf numFmtId="164" fontId="0" fillId="4" borderId="39" xfId="0" applyNumberFormat="1" applyFill="1" applyBorder="1"/>
    <xf numFmtId="0" fontId="0" fillId="0" borderId="0" xfId="0" applyAlignment="1" applyProtection="1">
      <alignment horizontal="center"/>
      <protection locked="0"/>
    </xf>
    <xf numFmtId="166" fontId="0" fillId="0" borderId="35" xfId="0" applyNumberFormat="1" applyBorder="1" applyProtection="1">
      <protection locked="0"/>
    </xf>
    <xf numFmtId="166" fontId="0" fillId="0" borderId="36" xfId="0" applyNumberFormat="1" applyBorder="1" applyProtection="1">
      <protection locked="0"/>
    </xf>
    <xf numFmtId="166" fontId="0" fillId="0" borderId="37" xfId="0" applyNumberFormat="1" applyBorder="1" applyProtection="1">
      <protection locked="0"/>
    </xf>
    <xf numFmtId="166" fontId="0" fillId="0" borderId="39" xfId="0" applyNumberFormat="1" applyBorder="1" applyProtection="1"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44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165" fontId="0" fillId="0" borderId="47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65" fontId="0" fillId="0" borderId="42" xfId="0" applyNumberFormat="1" applyBorder="1" applyProtection="1">
      <protection locked="0"/>
    </xf>
    <xf numFmtId="0" fontId="0" fillId="0" borderId="12" xfId="0" applyBorder="1"/>
    <xf numFmtId="0" fontId="0" fillId="0" borderId="26" xfId="0" applyBorder="1" applyAlignment="1" applyProtection="1">
      <alignment horizontal="center"/>
      <protection locked="0"/>
    </xf>
    <xf numFmtId="166" fontId="0" fillId="5" borderId="0" xfId="0" applyNumberFormat="1" applyFill="1" applyProtection="1">
      <protection locked="0"/>
    </xf>
    <xf numFmtId="2" fontId="0" fillId="5" borderId="0" xfId="0" applyNumberFormat="1" applyFill="1" applyBorder="1"/>
    <xf numFmtId="164" fontId="0" fillId="5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4DDEE"/>
      <color rgb="FFFFD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topLeftCell="A9" zoomScale="115" zoomScaleNormal="100" workbookViewId="0">
      <selection activeCell="I60" sqref="I60"/>
    </sheetView>
  </sheetViews>
  <sheetFormatPr baseColWidth="10" defaultColWidth="11.5" defaultRowHeight="15" x14ac:dyDescent="0.2"/>
  <cols>
    <col min="1" max="1" width="24.33203125" style="1" customWidth="1"/>
    <col min="2" max="8" width="15.6640625" style="1" customWidth="1"/>
    <col min="9" max="9" width="16.1640625" style="1" customWidth="1"/>
    <col min="10" max="14" width="15.6640625" style="1" customWidth="1"/>
    <col min="15" max="16384" width="11.5" style="1"/>
  </cols>
  <sheetData>
    <row r="1" spans="1:14" ht="21" thickTop="1" thickBot="1" x14ac:dyDescent="0.3">
      <c r="A1" s="3" t="s">
        <v>0</v>
      </c>
      <c r="B1" s="28" t="s">
        <v>33</v>
      </c>
      <c r="C1" s="4"/>
      <c r="D1"/>
      <c r="E1" s="21" t="s">
        <v>20</v>
      </c>
      <c r="F1" s="22"/>
      <c r="G1" s="22"/>
      <c r="H1" s="22"/>
      <c r="I1" s="22"/>
      <c r="J1"/>
      <c r="K1" s="25" t="s">
        <v>23</v>
      </c>
      <c r="L1" s="23"/>
      <c r="M1"/>
    </row>
    <row r="2" spans="1:14" x14ac:dyDescent="0.2">
      <c r="A2" s="5" t="s">
        <v>1</v>
      </c>
      <c r="B2" s="29" t="s">
        <v>34</v>
      </c>
      <c r="C2" s="6" t="s">
        <v>4</v>
      </c>
      <c r="D2"/>
      <c r="E2" s="22" t="s">
        <v>24</v>
      </c>
      <c r="F2" s="22"/>
      <c r="G2" s="22"/>
      <c r="H2" s="22"/>
      <c r="I2" s="22"/>
      <c r="J2"/>
      <c r="K2" s="19" t="s">
        <v>21</v>
      </c>
      <c r="L2" s="23"/>
      <c r="M2"/>
    </row>
    <row r="3" spans="1:14" ht="18" thickBot="1" x14ac:dyDescent="0.3">
      <c r="A3" s="5" t="s">
        <v>2</v>
      </c>
      <c r="B3" s="30">
        <v>0.4</v>
      </c>
      <c r="C3" s="6" t="s">
        <v>3</v>
      </c>
      <c r="D3"/>
      <c r="E3" s="22" t="s">
        <v>9</v>
      </c>
      <c r="F3" s="22"/>
      <c r="G3" s="22"/>
      <c r="H3" s="22"/>
      <c r="I3" s="22"/>
      <c r="J3"/>
      <c r="K3" s="20" t="s">
        <v>22</v>
      </c>
      <c r="L3" s="24"/>
      <c r="M3"/>
    </row>
    <row r="4" spans="1:14" ht="16" thickTop="1" x14ac:dyDescent="0.2">
      <c r="A4" s="7"/>
      <c r="B4" s="8"/>
      <c r="C4" s="9"/>
      <c r="D4"/>
      <c r="E4"/>
      <c r="F4"/>
      <c r="G4"/>
      <c r="H4"/>
      <c r="I4"/>
      <c r="J4"/>
      <c r="K4"/>
      <c r="L4"/>
      <c r="M4"/>
      <c r="N4"/>
    </row>
    <row r="5" spans="1:14" ht="16" thickBot="1" x14ac:dyDescent="0.25">
      <c r="A5" s="10"/>
      <c r="B5"/>
      <c r="C5" s="11"/>
      <c r="D5"/>
      <c r="E5"/>
      <c r="F5"/>
      <c r="G5"/>
      <c r="H5"/>
      <c r="I5"/>
      <c r="J5"/>
      <c r="K5"/>
      <c r="L5"/>
      <c r="M5"/>
      <c r="N5"/>
    </row>
    <row r="6" spans="1:14" ht="17" thickTop="1" x14ac:dyDescent="0.2">
      <c r="A6" s="49" t="s">
        <v>14</v>
      </c>
      <c r="B6" s="50"/>
      <c r="C6" s="51"/>
      <c r="D6" s="47" t="s">
        <v>7</v>
      </c>
      <c r="E6" s="61"/>
      <c r="F6" s="65" t="s">
        <v>25</v>
      </c>
      <c r="G6" s="66"/>
      <c r="H6" s="67" t="s">
        <v>15</v>
      </c>
      <c r="I6" s="67"/>
      <c r="J6" s="68"/>
      <c r="K6" s="64" t="s">
        <v>11</v>
      </c>
      <c r="L6" s="27"/>
      <c r="M6" s="12" t="s">
        <v>10</v>
      </c>
      <c r="N6" s="39"/>
    </row>
    <row r="7" spans="1:14" s="2" customFormat="1" ht="51" x14ac:dyDescent="0.2">
      <c r="A7" s="52" t="s">
        <v>27</v>
      </c>
      <c r="B7" s="41" t="s">
        <v>16</v>
      </c>
      <c r="C7" s="53" t="s">
        <v>17</v>
      </c>
      <c r="D7" s="48" t="s">
        <v>6</v>
      </c>
      <c r="E7" s="15" t="s">
        <v>5</v>
      </c>
      <c r="F7" s="69" t="s">
        <v>28</v>
      </c>
      <c r="G7" s="14" t="s">
        <v>29</v>
      </c>
      <c r="H7" s="15" t="s">
        <v>30</v>
      </c>
      <c r="I7" s="15" t="s">
        <v>32</v>
      </c>
      <c r="J7" s="70" t="s">
        <v>31</v>
      </c>
      <c r="K7" s="48" t="s">
        <v>26</v>
      </c>
      <c r="L7" s="14" t="s">
        <v>8</v>
      </c>
      <c r="M7" s="15" t="s">
        <v>12</v>
      </c>
      <c r="N7" s="13" t="s">
        <v>13</v>
      </c>
    </row>
    <row r="8" spans="1:14" x14ac:dyDescent="0.2">
      <c r="A8" s="54">
        <v>0</v>
      </c>
      <c r="B8" s="46">
        <v>0</v>
      </c>
      <c r="C8" s="55">
        <v>25</v>
      </c>
      <c r="D8" s="43"/>
      <c r="E8" s="62"/>
      <c r="F8" s="71"/>
      <c r="G8" s="17"/>
      <c r="H8" s="32">
        <v>1</v>
      </c>
      <c r="I8" s="33">
        <v>75.3</v>
      </c>
      <c r="J8" s="72">
        <v>75.3</v>
      </c>
      <c r="K8" s="43"/>
      <c r="L8" s="17"/>
      <c r="M8" s="32"/>
      <c r="N8" s="37">
        <v>75</v>
      </c>
    </row>
    <row r="9" spans="1:14" x14ac:dyDescent="0.2">
      <c r="A9" s="56">
        <f>1/8</f>
        <v>0.125</v>
      </c>
      <c r="B9" s="42">
        <v>6.58</v>
      </c>
      <c r="C9" s="57">
        <v>18.420000000000002</v>
      </c>
      <c r="D9" s="44">
        <v>155.81800000000001</v>
      </c>
      <c r="E9" s="44">
        <v>494.3032</v>
      </c>
      <c r="F9" s="73">
        <f xml:space="preserve"> $J$16*A9*EXP(($B$19)/($G$19*$G$20)* (1-A9)^2)</f>
        <v>27.328383240044534</v>
      </c>
      <c r="G9" s="44">
        <f xml:space="preserve"> $J$8*(1-A9)*EXP(($B$19)/($G$19*$G$20)* (A9)^2)</f>
        <v>67.300426049230637</v>
      </c>
      <c r="H9" s="34">
        <f xml:space="preserve"> G9/(F9+G9)</f>
        <v>0.71120440545222186</v>
      </c>
      <c r="I9" s="35">
        <f>F9+G9</f>
        <v>94.628809289275168</v>
      </c>
      <c r="J9" s="74">
        <v>102.2</v>
      </c>
      <c r="K9" s="44">
        <v>178.9616</v>
      </c>
      <c r="L9" s="31">
        <v>450.51600000000002</v>
      </c>
      <c r="M9" s="34"/>
      <c r="N9" s="37">
        <v>66</v>
      </c>
    </row>
    <row r="10" spans="1:14" x14ac:dyDescent="0.2">
      <c r="A10" s="56">
        <f>2/8</f>
        <v>0.25</v>
      </c>
      <c r="B10" s="42">
        <v>11.36</v>
      </c>
      <c r="C10" s="57">
        <v>13.64</v>
      </c>
      <c r="D10" s="44">
        <v>248.18360000000001</v>
      </c>
      <c r="E10" s="44">
        <v>376.46660000000003</v>
      </c>
      <c r="F10" s="73">
        <f t="shared" ref="F10:F15" si="0" xml:space="preserve"> $J$16*A10*EXP(($B$19)/($G$19*$G$20)* (1-A10)^2)</f>
        <v>41.481240801822501</v>
      </c>
      <c r="G10" s="44">
        <f t="shared" ref="G10:G15" si="1" xml:space="preserve"> $J$8*(1-A10)*EXP(($B$19)/($G$19*$G$20)* (A10)^2)</f>
        <v>61.477383704924868</v>
      </c>
      <c r="H10" s="34">
        <f t="shared" ref="H10:H15" si="2" xml:space="preserve"> G10/(F10+G10)</f>
        <v>0.59710766338856791</v>
      </c>
      <c r="I10" s="35">
        <f t="shared" ref="I10:I15" si="3">F10+G10</f>
        <v>102.95862450674737</v>
      </c>
      <c r="J10" s="74">
        <v>93.3</v>
      </c>
      <c r="K10" s="44">
        <v>297.10379999999998</v>
      </c>
      <c r="L10" s="31">
        <v>308.83359999999999</v>
      </c>
      <c r="M10" s="34"/>
      <c r="N10" s="37">
        <v>63</v>
      </c>
    </row>
    <row r="11" spans="1:14" x14ac:dyDescent="0.2">
      <c r="A11" s="56">
        <f>3/8</f>
        <v>0.375</v>
      </c>
      <c r="B11" s="42">
        <v>15</v>
      </c>
      <c r="C11" s="57">
        <v>10</v>
      </c>
      <c r="D11" s="44">
        <v>454.98719999999997</v>
      </c>
      <c r="E11" s="44">
        <v>96.871399999999994</v>
      </c>
      <c r="F11" s="73">
        <f t="shared" si="0"/>
        <v>49.269751295682248</v>
      </c>
      <c r="G11" s="44">
        <f t="shared" si="1"/>
        <v>56.964993553494963</v>
      </c>
      <c r="H11" s="34">
        <f t="shared" si="2"/>
        <v>0.53621810486172738</v>
      </c>
      <c r="I11" s="35">
        <f t="shared" si="3"/>
        <v>106.23474484917722</v>
      </c>
      <c r="J11" s="74">
        <v>99.7</v>
      </c>
      <c r="K11" s="44">
        <v>158.7636</v>
      </c>
      <c r="L11" s="31">
        <v>468.79219999999998</v>
      </c>
      <c r="M11" s="34"/>
      <c r="N11" s="37">
        <v>65</v>
      </c>
    </row>
    <row r="12" spans="1:14" x14ac:dyDescent="0.2">
      <c r="A12" s="56">
        <f>4/8</f>
        <v>0.5</v>
      </c>
      <c r="B12" s="42">
        <v>17.86</v>
      </c>
      <c r="C12" s="57">
        <v>7.14</v>
      </c>
      <c r="D12" s="44">
        <v>469.64819999999997</v>
      </c>
      <c r="E12" s="44">
        <v>85.036299999999997</v>
      </c>
      <c r="F12" s="73">
        <f t="shared" si="0"/>
        <v>54.273277340068752</v>
      </c>
      <c r="G12" s="44">
        <f t="shared" si="1"/>
        <v>52.86905282932959</v>
      </c>
      <c r="H12" s="34">
        <f t="shared" si="2"/>
        <v>0.49344692005242463</v>
      </c>
      <c r="I12" s="35">
        <f t="shared" si="3"/>
        <v>107.14233016939835</v>
      </c>
      <c r="J12" s="74">
        <v>104.8</v>
      </c>
      <c r="K12" s="44">
        <v>358.35890000000001</v>
      </c>
      <c r="L12" s="31">
        <v>272.55220000000003</v>
      </c>
      <c r="M12" s="34"/>
      <c r="N12" s="37">
        <v>64</v>
      </c>
    </row>
    <row r="13" spans="1:14" x14ac:dyDescent="0.2">
      <c r="A13" s="56">
        <f>5/8</f>
        <v>0.625</v>
      </c>
      <c r="B13" s="42">
        <v>20.16</v>
      </c>
      <c r="C13" s="57">
        <v>4.84</v>
      </c>
      <c r="D13" s="44">
        <v>390.00080000000003</v>
      </c>
      <c r="E13" s="44">
        <v>173.27119999999999</v>
      </c>
      <c r="F13" s="73">
        <f t="shared" si="0"/>
        <v>58.478007990506782</v>
      </c>
      <c r="G13" s="44">
        <f t="shared" si="1"/>
        <v>47.99498412114972</v>
      </c>
      <c r="H13" s="34">
        <f t="shared" si="2"/>
        <v>0.45077144137001574</v>
      </c>
      <c r="I13" s="35">
        <f t="shared" si="3"/>
        <v>106.47299211165651</v>
      </c>
      <c r="J13" s="74">
        <v>97.5</v>
      </c>
      <c r="K13" s="44">
        <v>140.19560000000001</v>
      </c>
      <c r="L13" s="31">
        <v>498.93579999999997</v>
      </c>
      <c r="M13" s="34"/>
      <c r="N13" s="37">
        <v>65</v>
      </c>
    </row>
    <row r="14" spans="1:14" x14ac:dyDescent="0.2">
      <c r="A14" s="56">
        <f>6/8</f>
        <v>0.75</v>
      </c>
      <c r="B14" s="42">
        <v>22.06</v>
      </c>
      <c r="C14" s="57">
        <v>2.94</v>
      </c>
      <c r="D14" s="44">
        <v>468.8177</v>
      </c>
      <c r="E14" s="44">
        <v>42.807400000000001</v>
      </c>
      <c r="F14" s="73">
        <f t="shared" si="0"/>
        <v>63.110249141974663</v>
      </c>
      <c r="G14" s="44">
        <f t="shared" si="1"/>
        <v>40.407987482241062</v>
      </c>
      <c r="H14" s="34">
        <f t="shared" si="2"/>
        <v>0.39034655921475137</v>
      </c>
      <c r="I14" s="35">
        <f t="shared" si="3"/>
        <v>103.51823662421572</v>
      </c>
      <c r="J14" s="74">
        <v>105.2</v>
      </c>
      <c r="K14" s="44">
        <v>130.2432</v>
      </c>
      <c r="L14" s="31">
        <v>487.51940000000002</v>
      </c>
      <c r="M14" s="34"/>
      <c r="N14" s="37">
        <v>67</v>
      </c>
    </row>
    <row r="15" spans="1:14" x14ac:dyDescent="0.2">
      <c r="A15" s="56">
        <f>7/8</f>
        <v>0.875</v>
      </c>
      <c r="B15" s="42">
        <v>23.65</v>
      </c>
      <c r="C15" s="57">
        <v>1.35</v>
      </c>
      <c r="D15" s="44">
        <v>466.27460000000002</v>
      </c>
      <c r="E15" s="44">
        <v>19.8749</v>
      </c>
      <c r="F15" s="73">
        <f t="shared" si="0"/>
        <v>69.08795396554487</v>
      </c>
      <c r="G15" s="44">
        <f t="shared" si="1"/>
        <v>26.621309934998102</v>
      </c>
      <c r="H15" s="34">
        <f t="shared" si="2"/>
        <v>0.27814768236710968</v>
      </c>
      <c r="I15" s="35">
        <f t="shared" si="3"/>
        <v>95.709263900542965</v>
      </c>
      <c r="J15" s="74">
        <v>116</v>
      </c>
      <c r="K15" s="44">
        <v>354.67750000000001</v>
      </c>
      <c r="L15" s="31">
        <v>183.34229999999999</v>
      </c>
      <c r="M15" s="34"/>
      <c r="N15" s="37">
        <v>88</v>
      </c>
    </row>
    <row r="16" spans="1:14" ht="16" thickBot="1" x14ac:dyDescent="0.25">
      <c r="A16" s="58">
        <v>1</v>
      </c>
      <c r="B16" s="59">
        <v>25</v>
      </c>
      <c r="C16" s="60">
        <v>0</v>
      </c>
      <c r="D16" s="45"/>
      <c r="E16" s="63"/>
      <c r="F16" s="75"/>
      <c r="G16" s="76"/>
      <c r="H16" s="77">
        <v>0</v>
      </c>
      <c r="I16" s="78">
        <v>77.3</v>
      </c>
      <c r="J16" s="79">
        <v>77.3</v>
      </c>
      <c r="K16" s="45"/>
      <c r="L16" s="18"/>
      <c r="M16" s="36"/>
      <c r="N16" s="38">
        <v>94</v>
      </c>
    </row>
    <row r="17" spans="1:14" ht="16" thickBot="1" x14ac:dyDescent="0.25">
      <c r="A17"/>
      <c r="B17"/>
      <c r="D17"/>
      <c r="E17"/>
      <c r="F17"/>
      <c r="G17"/>
      <c r="H17"/>
      <c r="I17"/>
      <c r="J17"/>
      <c r="K17"/>
      <c r="L17"/>
      <c r="M17"/>
      <c r="N17"/>
    </row>
    <row r="18" spans="1:14" ht="16" thickTop="1" x14ac:dyDescent="0.2">
      <c r="A18" s="3" t="s">
        <v>18</v>
      </c>
      <c r="B18" s="16"/>
      <c r="C18"/>
      <c r="F18"/>
      <c r="G18"/>
      <c r="H18"/>
      <c r="I18"/>
      <c r="K18"/>
      <c r="L18"/>
      <c r="M18"/>
    </row>
    <row r="19" spans="1:14" ht="18" thickBot="1" x14ac:dyDescent="0.25">
      <c r="A19" s="26" t="s">
        <v>19</v>
      </c>
      <c r="B19" s="40">
        <v>3309.64</v>
      </c>
      <c r="C19" s="44">
        <v>343.98</v>
      </c>
      <c r="F19" s="92" t="s">
        <v>35</v>
      </c>
      <c r="G19" s="92">
        <v>8.3140000000000001</v>
      </c>
      <c r="H19"/>
      <c r="I19"/>
      <c r="K19"/>
      <c r="L19"/>
      <c r="M19"/>
    </row>
    <row r="20" spans="1:14" ht="16" thickTop="1" x14ac:dyDescent="0.2">
      <c r="C20"/>
      <c r="F20" s="92" t="s">
        <v>36</v>
      </c>
      <c r="G20" s="92">
        <v>293.14999999999998</v>
      </c>
      <c r="H20"/>
      <c r="I20"/>
      <c r="K20"/>
      <c r="L20"/>
      <c r="M20"/>
    </row>
    <row r="21" spans="1:14" ht="16" thickBot="1" x14ac:dyDescent="0.25">
      <c r="C21"/>
      <c r="F21"/>
      <c r="G21"/>
      <c r="H21"/>
      <c r="I21"/>
      <c r="K21"/>
      <c r="L21"/>
      <c r="M21"/>
    </row>
    <row r="22" spans="1:14" ht="16" thickBot="1" x14ac:dyDescent="0.25">
      <c r="B22" s="86" t="s">
        <v>38</v>
      </c>
      <c r="C22" s="87" t="s">
        <v>37</v>
      </c>
      <c r="D22" s="88" t="s">
        <v>39</v>
      </c>
    </row>
    <row r="23" spans="1:14" x14ac:dyDescent="0.2">
      <c r="A23" s="80"/>
      <c r="B23" s="81">
        <f>$B$19/($G$19*$G$20)*A8^2</f>
        <v>0</v>
      </c>
      <c r="C23" s="89">
        <f>1-A8</f>
        <v>1</v>
      </c>
      <c r="D23" s="82">
        <f>$B$19/($G$19*$G$20)*C23^2</f>
        <v>1.3579408030143492</v>
      </c>
    </row>
    <row r="24" spans="1:14" x14ac:dyDescent="0.2">
      <c r="B24" s="81">
        <f t="shared" ref="B24:B31" si="4">$B$19/($G$19*$G$20)*A9^2</f>
        <v>2.1217825047099206E-2</v>
      </c>
      <c r="C24" s="90">
        <f t="shared" ref="C24:C31" si="5">1-A9</f>
        <v>0.875</v>
      </c>
      <c r="D24" s="82">
        <f t="shared" ref="D24:D31" si="6">$B$19/($G$19*$G$20)*C24^2</f>
        <v>1.0396734273078612</v>
      </c>
    </row>
    <row r="25" spans="1:14" x14ac:dyDescent="0.2">
      <c r="B25" s="81">
        <f t="shared" si="4"/>
        <v>8.4871300188396823E-2</v>
      </c>
      <c r="C25" s="90">
        <f t="shared" si="5"/>
        <v>0.75</v>
      </c>
      <c r="D25" s="82">
        <f t="shared" si="6"/>
        <v>0.76384170169557142</v>
      </c>
    </row>
    <row r="26" spans="1:14" x14ac:dyDescent="0.2">
      <c r="B26" s="81">
        <f t="shared" si="4"/>
        <v>0.19096042542389285</v>
      </c>
      <c r="C26" s="90">
        <f t="shared" si="5"/>
        <v>0.625</v>
      </c>
      <c r="D26" s="82">
        <f t="shared" si="6"/>
        <v>0.53044562617748015</v>
      </c>
    </row>
    <row r="27" spans="1:14" x14ac:dyDescent="0.2">
      <c r="B27" s="81">
        <f t="shared" si="4"/>
        <v>0.33948520075358729</v>
      </c>
      <c r="C27" s="90">
        <f t="shared" si="5"/>
        <v>0.5</v>
      </c>
      <c r="D27" s="82">
        <f t="shared" si="6"/>
        <v>0.33948520075358729</v>
      </c>
    </row>
    <row r="28" spans="1:14" x14ac:dyDescent="0.2">
      <c r="B28" s="81">
        <f t="shared" si="4"/>
        <v>0.53044562617748015</v>
      </c>
      <c r="C28" s="90">
        <f t="shared" si="5"/>
        <v>0.375</v>
      </c>
      <c r="D28" s="82">
        <f t="shared" si="6"/>
        <v>0.19096042542389285</v>
      </c>
    </row>
    <row r="29" spans="1:14" x14ac:dyDescent="0.2">
      <c r="B29" s="81">
        <f t="shared" si="4"/>
        <v>0.76384170169557142</v>
      </c>
      <c r="C29" s="90">
        <f t="shared" si="5"/>
        <v>0.25</v>
      </c>
      <c r="D29" s="82">
        <f t="shared" si="6"/>
        <v>8.4871300188396823E-2</v>
      </c>
    </row>
    <row r="30" spans="1:14" x14ac:dyDescent="0.2">
      <c r="B30" s="81">
        <f t="shared" si="4"/>
        <v>1.0396734273078612</v>
      </c>
      <c r="C30" s="90">
        <f t="shared" si="5"/>
        <v>0.125</v>
      </c>
      <c r="D30" s="82">
        <f t="shared" si="6"/>
        <v>2.1217825047099206E-2</v>
      </c>
    </row>
    <row r="31" spans="1:14" ht="16" thickBot="1" x14ac:dyDescent="0.25">
      <c r="B31" s="83">
        <f t="shared" si="4"/>
        <v>1.3579408030143492</v>
      </c>
      <c r="C31" s="91">
        <f t="shared" si="5"/>
        <v>0</v>
      </c>
      <c r="D31" s="84">
        <f t="shared" si="6"/>
        <v>0</v>
      </c>
    </row>
    <row r="35" spans="2:9" ht="16" thickBot="1" x14ac:dyDescent="0.25"/>
    <row r="36" spans="2:9" ht="16" thickBot="1" x14ac:dyDescent="0.25">
      <c r="B36" s="93" t="s">
        <v>40</v>
      </c>
    </row>
    <row r="38" spans="2:9" x14ac:dyDescent="0.2">
      <c r="B38" s="85" t="s">
        <v>41</v>
      </c>
      <c r="C38" s="85" t="s">
        <v>37</v>
      </c>
      <c r="D38" s="85" t="s">
        <v>43</v>
      </c>
      <c r="E38" s="85" t="s">
        <v>44</v>
      </c>
      <c r="F38" s="85" t="s">
        <v>45</v>
      </c>
      <c r="G38" s="85" t="s">
        <v>46</v>
      </c>
      <c r="H38" s="85" t="s">
        <v>47</v>
      </c>
      <c r="I38" s="85" t="s">
        <v>48</v>
      </c>
    </row>
    <row r="39" spans="2:9" x14ac:dyDescent="0.2">
      <c r="B39" s="94">
        <f>D39/(D39+E39)</f>
        <v>0.23967530977300849</v>
      </c>
      <c r="C39" s="94">
        <f>E39/(D39+E39)</f>
        <v>0.76032469022699145</v>
      </c>
      <c r="D39" s="95">
        <v>155.81800000000001</v>
      </c>
      <c r="E39" s="95">
        <v>494.3032</v>
      </c>
      <c r="F39" s="94">
        <f>B39/C39</f>
        <v>0.31522757692040032</v>
      </c>
      <c r="G39" s="94">
        <f>D39/E39</f>
        <v>0.31522757692040032</v>
      </c>
      <c r="H39" s="94">
        <f>C39/B39</f>
        <v>3.1723112862442076</v>
      </c>
      <c r="I39" s="94">
        <f>E39/D39</f>
        <v>3.1723112862442076</v>
      </c>
    </row>
    <row r="40" spans="2:9" x14ac:dyDescent="0.2">
      <c r="B40" s="94">
        <f t="shared" ref="B40:B45" si="7">D40/(D40+E40)</f>
        <v>0.39731612989157772</v>
      </c>
      <c r="C40" s="94">
        <f t="shared" ref="C40:C45" si="8">E40/(D40+E40)</f>
        <v>0.60268387010842228</v>
      </c>
      <c r="D40" s="95">
        <v>248.18360000000001</v>
      </c>
      <c r="E40" s="95">
        <v>376.46660000000003</v>
      </c>
      <c r="F40" s="94">
        <f t="shared" ref="F40:F45" si="9">B40/C40</f>
        <v>0.65924467137323739</v>
      </c>
      <c r="G40" s="94">
        <f t="shared" ref="G40:G45" si="10">D40/E40</f>
        <v>0.65924467137323739</v>
      </c>
      <c r="H40" s="94">
        <f t="shared" ref="H40:H45" si="11">C40/B40</f>
        <v>1.516887497804045</v>
      </c>
      <c r="I40" s="94">
        <f t="shared" ref="I40:I45" si="12">E40/D40</f>
        <v>1.5168874978040452</v>
      </c>
    </row>
    <row r="41" spans="2:9" x14ac:dyDescent="0.2">
      <c r="B41" s="94">
        <f t="shared" si="7"/>
        <v>0.82446336797143316</v>
      </c>
      <c r="C41" s="94">
        <f t="shared" si="8"/>
        <v>0.17553663202856673</v>
      </c>
      <c r="D41" s="95">
        <v>454.98719999999997</v>
      </c>
      <c r="E41" s="95">
        <v>96.871399999999994</v>
      </c>
      <c r="F41" s="94">
        <f t="shared" si="9"/>
        <v>4.696816604281552</v>
      </c>
      <c r="G41" s="94">
        <f t="shared" si="10"/>
        <v>4.6968166042815529</v>
      </c>
      <c r="H41" s="94">
        <f t="shared" si="11"/>
        <v>0.2129101653848724</v>
      </c>
      <c r="I41" s="94">
        <f t="shared" si="12"/>
        <v>0.21291016538487237</v>
      </c>
    </row>
    <row r="42" spans="2:9" x14ac:dyDescent="0.2">
      <c r="B42" s="94">
        <f t="shared" si="7"/>
        <v>0.84669429198039603</v>
      </c>
      <c r="C42" s="94">
        <f t="shared" si="8"/>
        <v>0.15330570801960394</v>
      </c>
      <c r="D42" s="95">
        <v>469.64819999999997</v>
      </c>
      <c r="E42" s="95">
        <v>85.036299999999997</v>
      </c>
      <c r="F42" s="94">
        <f t="shared" si="9"/>
        <v>5.522914331879444</v>
      </c>
      <c r="G42" s="94">
        <f t="shared" si="10"/>
        <v>5.522914331879444</v>
      </c>
      <c r="H42" s="94">
        <f t="shared" si="11"/>
        <v>0.18106382607236651</v>
      </c>
      <c r="I42" s="94">
        <f t="shared" si="12"/>
        <v>0.18106382607236651</v>
      </c>
    </row>
    <row r="43" spans="2:9" x14ac:dyDescent="0.2">
      <c r="B43" s="94">
        <f t="shared" si="7"/>
        <v>0.69238449630018883</v>
      </c>
      <c r="C43" s="94">
        <f t="shared" si="8"/>
        <v>0.30761550369981105</v>
      </c>
      <c r="D43" s="95">
        <v>390.00080000000003</v>
      </c>
      <c r="E43" s="95">
        <v>173.27119999999999</v>
      </c>
      <c r="F43" s="94">
        <f t="shared" si="9"/>
        <v>2.250811444717876</v>
      </c>
      <c r="G43" s="94">
        <f t="shared" si="10"/>
        <v>2.250811444717876</v>
      </c>
      <c r="H43" s="94">
        <f t="shared" si="11"/>
        <v>0.44428421685288849</v>
      </c>
      <c r="I43" s="94">
        <f t="shared" si="12"/>
        <v>0.44428421685288844</v>
      </c>
    </row>
    <row r="44" spans="2:9" x14ac:dyDescent="0.2">
      <c r="B44" s="94">
        <f t="shared" si="7"/>
        <v>0.91633053186796354</v>
      </c>
      <c r="C44" s="94">
        <f t="shared" si="8"/>
        <v>8.3669468132036531E-2</v>
      </c>
      <c r="D44" s="95">
        <v>468.8177</v>
      </c>
      <c r="E44" s="95">
        <v>42.807400000000001</v>
      </c>
      <c r="F44" s="94">
        <f t="shared" si="9"/>
        <v>10.951791045473446</v>
      </c>
      <c r="G44" s="94">
        <f t="shared" si="10"/>
        <v>10.951791045473446</v>
      </c>
      <c r="H44" s="94">
        <f t="shared" si="11"/>
        <v>9.1309265840432224E-2</v>
      </c>
      <c r="I44" s="94">
        <f t="shared" si="12"/>
        <v>9.1309265840432224E-2</v>
      </c>
    </row>
    <row r="45" spans="2:9" x14ac:dyDescent="0.2">
      <c r="B45" s="94">
        <f t="shared" si="7"/>
        <v>0.95911771996062933</v>
      </c>
      <c r="C45" s="94">
        <f t="shared" si="8"/>
        <v>4.0882280039370604E-2</v>
      </c>
      <c r="D45" s="95">
        <v>466.27460000000002</v>
      </c>
      <c r="E45" s="95">
        <v>19.8749</v>
      </c>
      <c r="F45" s="94">
        <f t="shared" si="9"/>
        <v>23.460475272831559</v>
      </c>
      <c r="G45" s="94">
        <f t="shared" si="10"/>
        <v>23.460475272831562</v>
      </c>
      <c r="H45" s="94">
        <f t="shared" si="11"/>
        <v>4.262488241907237E-2</v>
      </c>
      <c r="I45" s="94">
        <f t="shared" si="12"/>
        <v>4.2624882419072363E-2</v>
      </c>
    </row>
    <row r="47" spans="2:9" ht="16" thickBot="1" x14ac:dyDescent="0.25"/>
    <row r="48" spans="2:9" ht="16" thickBot="1" x14ac:dyDescent="0.25">
      <c r="B48" s="93" t="s">
        <v>42</v>
      </c>
    </row>
    <row r="50" spans="2:8" x14ac:dyDescent="0.2">
      <c r="B50" s="85" t="s">
        <v>41</v>
      </c>
      <c r="C50" s="85" t="s">
        <v>37</v>
      </c>
      <c r="D50" s="85" t="s">
        <v>49</v>
      </c>
      <c r="E50" s="85" t="s">
        <v>50</v>
      </c>
      <c r="F50" s="85" t="s">
        <v>51</v>
      </c>
      <c r="G50" s="85" t="s">
        <v>52</v>
      </c>
      <c r="H50" s="85" t="s">
        <v>53</v>
      </c>
    </row>
    <row r="51" spans="2:8" x14ac:dyDescent="0.2">
      <c r="B51" s="94">
        <f>D39/(D39+E39)</f>
        <v>0.23967530977300849</v>
      </c>
      <c r="C51" s="94">
        <f>E39/(D39+E39)</f>
        <v>0.76032469022699145</v>
      </c>
      <c r="D51" s="44">
        <v>178.9616</v>
      </c>
      <c r="E51" s="31">
        <v>450.51600000000002</v>
      </c>
      <c r="F51" s="96">
        <f>N9+273.15</f>
        <v>339.15</v>
      </c>
      <c r="G51" s="94">
        <f>D51/(D51+E51)</f>
        <v>0.28430177658426603</v>
      </c>
      <c r="H51" s="94">
        <f>E51/(E51+D51)</f>
        <v>0.71569822341573386</v>
      </c>
    </row>
    <row r="52" spans="2:8" x14ac:dyDescent="0.2">
      <c r="B52" s="94">
        <f t="shared" ref="B52:B57" si="13">D40/(D40+E40)</f>
        <v>0.39731612989157772</v>
      </c>
      <c r="C52" s="94">
        <f t="shared" ref="C52:C57" si="14">E40/(D40+E40)</f>
        <v>0.60268387010842228</v>
      </c>
      <c r="D52" s="44">
        <v>297.10379999999998</v>
      </c>
      <c r="E52" s="31">
        <v>308.83359999999999</v>
      </c>
      <c r="F52" s="96">
        <f t="shared" ref="F52:F57" si="15">N10+273.15</f>
        <v>336.15</v>
      </c>
      <c r="G52" s="94">
        <f t="shared" ref="G52:G57" si="16">D52/(D52+E52)</f>
        <v>0.49032094734538578</v>
      </c>
      <c r="H52" s="94">
        <f t="shared" ref="H52:H57" si="17">E52/(E52+D52)</f>
        <v>0.50967905265461411</v>
      </c>
    </row>
    <row r="53" spans="2:8" x14ac:dyDescent="0.2">
      <c r="B53" s="94">
        <f t="shared" si="13"/>
        <v>0.82446336797143316</v>
      </c>
      <c r="C53" s="94">
        <f t="shared" si="14"/>
        <v>0.17553663202856673</v>
      </c>
      <c r="D53" s="44">
        <v>158.7636</v>
      </c>
      <c r="E53" s="31">
        <v>468.79219999999998</v>
      </c>
      <c r="F53" s="96">
        <f t="shared" si="15"/>
        <v>338.15</v>
      </c>
      <c r="G53" s="94">
        <f t="shared" si="16"/>
        <v>0.25298722440299332</v>
      </c>
      <c r="H53" s="94">
        <f t="shared" si="17"/>
        <v>0.74701277559700663</v>
      </c>
    </row>
    <row r="54" spans="2:8" x14ac:dyDescent="0.2">
      <c r="B54" s="94">
        <f t="shared" si="13"/>
        <v>0.84669429198039603</v>
      </c>
      <c r="C54" s="94">
        <f t="shared" si="14"/>
        <v>0.15330570801960394</v>
      </c>
      <c r="D54" s="44">
        <v>358.35890000000001</v>
      </c>
      <c r="E54" s="31">
        <v>272.55220000000003</v>
      </c>
      <c r="F54" s="96">
        <f t="shared" si="15"/>
        <v>337.15</v>
      </c>
      <c r="G54" s="94">
        <f t="shared" si="16"/>
        <v>0.56800221140506169</v>
      </c>
      <c r="H54" s="94">
        <f t="shared" si="17"/>
        <v>0.43199778859493837</v>
      </c>
    </row>
    <row r="55" spans="2:8" x14ac:dyDescent="0.2">
      <c r="B55" s="94">
        <f t="shared" si="13"/>
        <v>0.69238449630018883</v>
      </c>
      <c r="C55" s="94">
        <f t="shared" si="14"/>
        <v>0.30761550369981105</v>
      </c>
      <c r="D55" s="44">
        <v>140.19560000000001</v>
      </c>
      <c r="E55" s="31">
        <v>498.93579999999997</v>
      </c>
      <c r="F55" s="96">
        <f t="shared" si="15"/>
        <v>338.15</v>
      </c>
      <c r="G55" s="94">
        <f t="shared" si="16"/>
        <v>0.21935332859565343</v>
      </c>
      <c r="H55" s="94">
        <f t="shared" si="17"/>
        <v>0.78064667140434651</v>
      </c>
    </row>
    <row r="56" spans="2:8" x14ac:dyDescent="0.2">
      <c r="B56" s="94">
        <f t="shared" si="13"/>
        <v>0.91633053186796354</v>
      </c>
      <c r="C56" s="94">
        <f t="shared" si="14"/>
        <v>8.3669468132036531E-2</v>
      </c>
      <c r="D56" s="44">
        <v>130.2432</v>
      </c>
      <c r="E56" s="31">
        <v>487.51940000000002</v>
      </c>
      <c r="F56" s="96">
        <f t="shared" si="15"/>
        <v>340.15</v>
      </c>
      <c r="G56" s="94">
        <f t="shared" si="16"/>
        <v>0.21083050349762189</v>
      </c>
      <c r="H56" s="94">
        <f t="shared" si="17"/>
        <v>0.78916949650237811</v>
      </c>
    </row>
    <row r="57" spans="2:8" x14ac:dyDescent="0.2">
      <c r="B57" s="94">
        <f t="shared" si="13"/>
        <v>0.95911771996062933</v>
      </c>
      <c r="C57" s="94">
        <f t="shared" si="14"/>
        <v>4.0882280039370604E-2</v>
      </c>
      <c r="D57" s="44">
        <v>354.67750000000001</v>
      </c>
      <c r="E57" s="31">
        <v>183.34229999999999</v>
      </c>
      <c r="F57" s="96">
        <f t="shared" si="15"/>
        <v>361.15</v>
      </c>
      <c r="G57" s="94">
        <f t="shared" si="16"/>
        <v>0.65922759719995427</v>
      </c>
      <c r="H57" s="94">
        <f t="shared" si="17"/>
        <v>0.34077240280004562</v>
      </c>
    </row>
  </sheetData>
  <mergeCells count="4">
    <mergeCell ref="K6:L6"/>
    <mergeCell ref="D6:E6"/>
    <mergeCell ref="F6:G6"/>
    <mergeCell ref="A6:C6"/>
  </mergeCell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p(x) und T(x)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Claire Milly Poorters</cp:lastModifiedBy>
  <dcterms:created xsi:type="dcterms:W3CDTF">2015-07-11T10:12:06Z</dcterms:created>
  <dcterms:modified xsi:type="dcterms:W3CDTF">2025-06-03T09:20:28Z</dcterms:modified>
</cp:coreProperties>
</file>