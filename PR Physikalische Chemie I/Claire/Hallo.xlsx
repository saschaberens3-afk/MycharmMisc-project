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scha0404/Downloads/"/>
    </mc:Choice>
  </mc:AlternateContent>
  <xr:revisionPtr revIDLastSave="0" documentId="13_ncr:1_{BB375CFB-8B28-F74D-81DD-C7D4B83D38EB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p(x) und T(x)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M11" i="1"/>
  <c r="M12" i="1"/>
  <c r="M13" i="1"/>
  <c r="M14" i="1"/>
  <c r="M15" i="1"/>
  <c r="M9" i="1"/>
  <c r="H38" i="1"/>
  <c r="C39" i="1"/>
  <c r="C40" i="1"/>
  <c r="C41" i="1"/>
  <c r="C42" i="1"/>
  <c r="C43" i="1"/>
  <c r="C44" i="1"/>
  <c r="B39" i="1"/>
  <c r="B40" i="1"/>
  <c r="B41" i="1"/>
  <c r="B42" i="1"/>
  <c r="B43" i="1"/>
  <c r="B44" i="1"/>
  <c r="C38" i="1"/>
  <c r="B38" i="1"/>
  <c r="O40" i="1"/>
  <c r="O41" i="1"/>
  <c r="O42" i="1"/>
  <c r="O43" i="1"/>
  <c r="O44" i="1"/>
  <c r="O45" i="1"/>
  <c r="O39" i="1"/>
  <c r="N40" i="1"/>
  <c r="N41" i="1"/>
  <c r="N42" i="1"/>
  <c r="N43" i="1"/>
  <c r="N44" i="1"/>
  <c r="N45" i="1"/>
  <c r="N39" i="1"/>
  <c r="P48" i="1" s="1"/>
  <c r="N48" i="1"/>
  <c r="B88" i="1"/>
  <c r="B89" i="1"/>
  <c r="B90" i="1"/>
  <c r="B91" i="1"/>
  <c r="B92" i="1"/>
  <c r="B93" i="1"/>
  <c r="B94" i="1"/>
  <c r="B95" i="1"/>
  <c r="B87" i="1"/>
  <c r="D88" i="1"/>
  <c r="D89" i="1"/>
  <c r="D90" i="1"/>
  <c r="D91" i="1"/>
  <c r="D92" i="1"/>
  <c r="D93" i="1"/>
  <c r="D94" i="1"/>
  <c r="D95" i="1"/>
  <c r="D87" i="1"/>
  <c r="C88" i="1"/>
  <c r="C89" i="1"/>
  <c r="C90" i="1"/>
  <c r="C91" i="1"/>
  <c r="C92" i="1"/>
  <c r="C93" i="1"/>
  <c r="C94" i="1"/>
  <c r="C95" i="1"/>
  <c r="C87" i="1"/>
  <c r="I26" i="1"/>
  <c r="I27" i="1"/>
  <c r="I28" i="1"/>
  <c r="I29" i="1"/>
  <c r="I30" i="1"/>
  <c r="I31" i="1"/>
  <c r="I25" i="1"/>
  <c r="H9" i="1"/>
  <c r="F9" i="1"/>
  <c r="G38" i="1"/>
  <c r="C78" i="1"/>
  <c r="B78" i="1" s="1"/>
  <c r="P67" i="1" s="1"/>
  <c r="C79" i="1"/>
  <c r="B79" i="1" s="1"/>
  <c r="P68" i="1" s="1"/>
  <c r="C80" i="1"/>
  <c r="C82" i="1"/>
  <c r="C84" i="1"/>
  <c r="C76" i="1"/>
  <c r="D84" i="1"/>
  <c r="Q73" i="1" s="1"/>
  <c r="D76" i="1"/>
  <c r="Q65" i="1" s="1"/>
  <c r="G9" i="1"/>
  <c r="D78" i="1"/>
  <c r="Q67" i="1" s="1"/>
  <c r="D79" i="1"/>
  <c r="Q68" i="1" s="1"/>
  <c r="R68" i="1" s="1"/>
  <c r="F40" i="1"/>
  <c r="B72" i="1"/>
  <c r="B71" i="1"/>
  <c r="B70" i="1"/>
  <c r="B69" i="1"/>
  <c r="B68" i="1"/>
  <c r="B67" i="1"/>
  <c r="B66" i="1"/>
  <c r="H39" i="1"/>
  <c r="H40" i="1"/>
  <c r="H41" i="1"/>
  <c r="H42" i="1"/>
  <c r="H43" i="1"/>
  <c r="H44" i="1"/>
  <c r="G39" i="1"/>
  <c r="G40" i="1"/>
  <c r="G41" i="1"/>
  <c r="G42" i="1"/>
  <c r="G43" i="1"/>
  <c r="G44" i="1"/>
  <c r="F39" i="1"/>
  <c r="F41" i="1"/>
  <c r="F42" i="1"/>
  <c r="F43" i="1"/>
  <c r="F44" i="1"/>
  <c r="F38" i="1"/>
  <c r="Q49" i="1"/>
  <c r="Q50" i="1"/>
  <c r="Q51" i="1"/>
  <c r="Q52" i="1"/>
  <c r="Q53" i="1"/>
  <c r="Q54" i="1"/>
  <c r="Q48" i="1"/>
  <c r="O49" i="1"/>
  <c r="O50" i="1"/>
  <c r="O51" i="1"/>
  <c r="O52" i="1"/>
  <c r="O53" i="1"/>
  <c r="O54" i="1"/>
  <c r="O48" i="1"/>
  <c r="N49" i="1"/>
  <c r="N51" i="1"/>
  <c r="P50" i="1"/>
  <c r="P51" i="1"/>
  <c r="D27" i="1"/>
  <c r="B23" i="1"/>
  <c r="C24" i="1"/>
  <c r="D24" i="1" s="1"/>
  <c r="C25" i="1"/>
  <c r="D25" i="1" s="1"/>
  <c r="C27" i="1"/>
  <c r="C31" i="1"/>
  <c r="D31" i="1" s="1"/>
  <c r="C23" i="1"/>
  <c r="D23" i="1" s="1"/>
  <c r="B24" i="1"/>
  <c r="B26" i="1"/>
  <c r="B29" i="1"/>
  <c r="B31" i="1"/>
  <c r="I12" i="1"/>
  <c r="H12" i="1"/>
  <c r="G11" i="1"/>
  <c r="G12" i="1"/>
  <c r="G14" i="1"/>
  <c r="H14" i="1" s="1"/>
  <c r="F10" i="1"/>
  <c r="F12" i="1"/>
  <c r="F14" i="1"/>
  <c r="I14" i="1" s="1"/>
  <c r="A15" i="1"/>
  <c r="G15" i="1" s="1"/>
  <c r="A14" i="1"/>
  <c r="D82" i="1" s="1"/>
  <c r="Q71" i="1" s="1"/>
  <c r="A13" i="1"/>
  <c r="C81" i="1" s="1"/>
  <c r="A12" i="1"/>
  <c r="D80" i="1" s="1"/>
  <c r="Q69" i="1" s="1"/>
  <c r="A11" i="1"/>
  <c r="C26" i="1" s="1"/>
  <c r="D26" i="1" s="1"/>
  <c r="A10" i="1"/>
  <c r="B25" i="1" s="1"/>
  <c r="A9" i="1"/>
  <c r="D77" i="1" s="1"/>
  <c r="Q66" i="1" s="1"/>
  <c r="R67" i="1" l="1"/>
  <c r="N53" i="1"/>
  <c r="N54" i="1"/>
  <c r="P53" i="1"/>
  <c r="N52" i="1"/>
  <c r="N50" i="1"/>
  <c r="P49" i="1"/>
  <c r="P54" i="1"/>
  <c r="B80" i="1"/>
  <c r="P69" i="1" s="1"/>
  <c r="R69" i="1"/>
  <c r="B81" i="1"/>
  <c r="P70" i="1" s="1"/>
  <c r="H15" i="1"/>
  <c r="R66" i="1"/>
  <c r="R73" i="1"/>
  <c r="F15" i="1"/>
  <c r="I15" i="1" s="1"/>
  <c r="C77" i="1"/>
  <c r="G13" i="1"/>
  <c r="P52" i="1"/>
  <c r="C30" i="1"/>
  <c r="D30" i="1" s="1"/>
  <c r="G10" i="1"/>
  <c r="B28" i="1"/>
  <c r="C29" i="1"/>
  <c r="D29" i="1" s="1"/>
  <c r="D83" i="1"/>
  <c r="Q72" i="1" s="1"/>
  <c r="B30" i="1"/>
  <c r="F13" i="1"/>
  <c r="I13" i="1" s="1"/>
  <c r="B76" i="1"/>
  <c r="P65" i="1" s="1"/>
  <c r="R65" i="1" s="1"/>
  <c r="F11" i="1"/>
  <c r="B27" i="1"/>
  <c r="C28" i="1"/>
  <c r="D28" i="1" s="1"/>
  <c r="C83" i="1"/>
  <c r="B83" i="1" s="1"/>
  <c r="P72" i="1" s="1"/>
  <c r="D81" i="1"/>
  <c r="Q70" i="1" s="1"/>
  <c r="B82" i="1"/>
  <c r="P71" i="1" s="1"/>
  <c r="R71" i="1" s="1"/>
  <c r="B84" i="1"/>
  <c r="P73" i="1" s="1"/>
  <c r="B77" i="1"/>
  <c r="P66" i="1" s="1"/>
  <c r="I9" i="1" l="1"/>
  <c r="I10" i="1"/>
  <c r="H10" i="1"/>
  <c r="I11" i="1"/>
  <c r="H11" i="1"/>
  <c r="H13" i="1"/>
  <c r="R70" i="1"/>
  <c r="R72" i="1"/>
</calcChain>
</file>

<file path=xl/sharedStrings.xml><?xml version="1.0" encoding="utf-8"?>
<sst xmlns="http://schemas.openxmlformats.org/spreadsheetml/2006/main" count="80" uniqueCount="73">
  <si>
    <t>Name</t>
  </si>
  <si>
    <t>Gruppe/Nummer</t>
  </si>
  <si>
    <t>Molvolumenverhältnis</t>
  </si>
  <si>
    <r>
      <t xml:space="preserve"> (V</t>
    </r>
    <r>
      <rPr>
        <vertAlign val="subscript"/>
        <sz val="11"/>
        <color indexed="8"/>
        <rFont val="Calibri"/>
        <family val="2"/>
      </rPr>
      <t>m,B</t>
    </r>
    <r>
      <rPr>
        <sz val="11"/>
        <color theme="1"/>
        <rFont val="Calibri"/>
        <family val="2"/>
        <scheme val="minor"/>
      </rPr>
      <t>/V</t>
    </r>
    <r>
      <rPr>
        <vertAlign val="subscript"/>
        <sz val="11"/>
        <color indexed="8"/>
        <rFont val="Calibri"/>
        <family val="2"/>
      </rPr>
      <t>m,A</t>
    </r>
    <r>
      <rPr>
        <sz val="11"/>
        <color theme="1"/>
        <rFont val="Calibri"/>
        <family val="2"/>
        <scheme val="minor"/>
      </rPr>
      <t>)</t>
    </r>
  </si>
  <si>
    <t>(z.B. Q3)</t>
  </si>
  <si>
    <t>GC-Peakfläche Substanz B</t>
  </si>
  <si>
    <t>GC-Peakfläche Substanz A</t>
  </si>
  <si>
    <t>Kalibrierung Gaschromatographie</t>
  </si>
  <si>
    <t>Peakfläche Substanz B</t>
  </si>
  <si>
    <t>Zusammen mit dem Protokoll im OLAT hochladen</t>
  </si>
  <si>
    <t>p / mbar =</t>
  </si>
  <si>
    <t>Siedediagramm-Messung</t>
  </si>
  <si>
    <r>
      <t xml:space="preserve">Molenbruch (Gas) </t>
    </r>
    <r>
      <rPr>
        <i/>
        <sz val="11"/>
        <color indexed="8"/>
        <rFont val="Calibri"/>
        <family val="2"/>
      </rPr>
      <t>y</t>
    </r>
    <r>
      <rPr>
        <vertAlign val="subscript"/>
        <sz val="11"/>
        <color indexed="8"/>
        <rFont val="Calibri"/>
        <family val="2"/>
      </rPr>
      <t>B</t>
    </r>
  </si>
  <si>
    <r>
      <t>T</t>
    </r>
    <r>
      <rPr>
        <vertAlign val="subscript"/>
        <sz val="11"/>
        <color theme="1"/>
        <rFont val="Calibri"/>
        <family val="2"/>
        <scheme val="minor"/>
      </rPr>
      <t>Siede</t>
    </r>
    <r>
      <rPr>
        <sz val="11"/>
        <color theme="1"/>
        <rFont val="Calibri"/>
        <family val="2"/>
        <scheme val="minor"/>
      </rPr>
      <t xml:space="preserve"> / °C</t>
    </r>
  </si>
  <si>
    <t>Mischungen</t>
  </si>
  <si>
    <r>
      <rPr>
        <i/>
        <sz val="11"/>
        <color indexed="8"/>
        <rFont val="Calibri"/>
        <family val="2"/>
      </rPr>
      <t>V</t>
    </r>
    <r>
      <rPr>
        <i/>
        <vertAlign val="subscript"/>
        <sz val="11"/>
        <color indexed="8"/>
        <rFont val="Calibri"/>
        <family val="2"/>
      </rPr>
      <t>A</t>
    </r>
    <r>
      <rPr>
        <sz val="11"/>
        <color indexed="8"/>
        <rFont val="Calibri"/>
        <family val="2"/>
      </rPr>
      <t xml:space="preserve"> / ml              </t>
    </r>
  </si>
  <si>
    <r>
      <rPr>
        <i/>
        <sz val="11"/>
        <color indexed="8"/>
        <rFont val="Calibri"/>
        <family val="2"/>
      </rPr>
      <t>V</t>
    </r>
    <r>
      <rPr>
        <vertAlign val="subscript"/>
        <sz val="11"/>
        <color indexed="8"/>
        <rFont val="Calibri"/>
        <family val="2"/>
      </rPr>
      <t>B</t>
    </r>
    <r>
      <rPr>
        <sz val="11"/>
        <color indexed="8"/>
        <rFont val="Calibri"/>
        <family val="2"/>
      </rPr>
      <t xml:space="preserve"> / ml              </t>
    </r>
  </si>
  <si>
    <t>Fit-Ergebnisse</t>
  </si>
  <si>
    <r>
      <rPr>
        <b/>
        <sz val="11"/>
        <color indexed="8"/>
        <rFont val="Symbol"/>
        <family val="1"/>
        <charset val="2"/>
      </rPr>
      <t xml:space="preserve">W  </t>
    </r>
    <r>
      <rPr>
        <b/>
        <sz val="11"/>
        <color indexed="8"/>
        <rFont val="Calibri"/>
        <family val="2"/>
      </rPr>
      <t xml:space="preserve">  / J mol</t>
    </r>
    <r>
      <rPr>
        <b/>
        <vertAlign val="superscript"/>
        <sz val="11"/>
        <color indexed="8"/>
        <rFont val="Calibri"/>
        <family val="2"/>
      </rPr>
      <t>-1</t>
    </r>
  </si>
  <si>
    <t>Alle orangen Zellen ausfüllen!</t>
  </si>
  <si>
    <t>* Einheiten</t>
  </si>
  <si>
    <t>* Indices (was ist A, was ist B?)</t>
  </si>
  <si>
    <t>BEACHTE:</t>
  </si>
  <si>
    <t>Benennung der Datei nach Filenamenkonvention (s. OLAT)</t>
  </si>
  <si>
    <t>Dampfdruckdaten</t>
  </si>
  <si>
    <t>Peakfläche Substanz  A</t>
  </si>
  <si>
    <r>
      <t xml:space="preserve">         Molenbrüche (flüssig)         </t>
    </r>
    <r>
      <rPr>
        <sz val="12"/>
        <color theme="1"/>
        <rFont val="Calibri"/>
        <family val="2"/>
        <scheme val="minor"/>
      </rPr>
      <t>x</t>
    </r>
    <r>
      <rPr>
        <vertAlign val="subscript"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 xml:space="preserve"> (</t>
    </r>
    <r>
      <rPr>
        <i/>
        <sz val="12"/>
        <color indexed="8"/>
        <rFont val="Calibri"/>
        <family val="2"/>
      </rPr>
      <t>x</t>
    </r>
    <r>
      <rPr>
        <vertAlign val="subscript"/>
        <sz val="12"/>
        <color rgb="FF000000"/>
        <rFont val="Calibri"/>
        <family val="2"/>
      </rPr>
      <t>B</t>
    </r>
    <r>
      <rPr>
        <sz val="12"/>
        <color indexed="8"/>
        <rFont val="Calibri"/>
        <family val="2"/>
      </rPr>
      <t>)</t>
    </r>
    <r>
      <rPr>
        <vertAlign val="superscript"/>
        <sz val="11"/>
        <color indexed="8"/>
        <rFont val="Calibri"/>
        <family val="2"/>
      </rPr>
      <t xml:space="preserve">            </t>
    </r>
    <r>
      <rPr>
        <sz val="11"/>
        <color indexed="8"/>
        <rFont val="Calibri"/>
        <family val="2"/>
      </rPr>
      <t xml:space="preserve">                                        (bzgl A steigend geordnet)</t>
    </r>
  </si>
  <si>
    <r>
      <t xml:space="preserve">berechneter Partialdruck A auf Basis 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</si>
  <si>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berechneter Partialdruck B auf Basis </t>
    </r>
    <r>
      <rPr>
        <sz val="11"/>
        <color theme="1"/>
        <rFont val="Symbol"/>
        <family val="1"/>
        <charset val="2"/>
      </rPr>
      <t>W</t>
    </r>
  </si>
  <si>
    <r>
      <t xml:space="preserve">berechneter Molenbruch (Gas) </t>
    </r>
    <r>
      <rPr>
        <i/>
        <sz val="11"/>
        <color indexed="8"/>
        <rFont val="Calibri"/>
        <family val="2"/>
      </rPr>
      <t>y</t>
    </r>
    <r>
      <rPr>
        <vertAlign val="subscript"/>
        <sz val="11"/>
        <color indexed="8"/>
        <rFont val="Calibri"/>
        <family val="2"/>
      </rPr>
      <t>B</t>
    </r>
  </si>
  <si>
    <r>
      <t>gemessener p</t>
    </r>
    <r>
      <rPr>
        <vertAlign val="subscript"/>
        <sz val="11"/>
        <color rgb="FF000000"/>
        <rFont val="Calibri"/>
        <family val="2"/>
      </rPr>
      <t>Ges</t>
    </r>
    <r>
      <rPr>
        <sz val="11"/>
        <color rgb="FF000000"/>
        <rFont val="Calibri"/>
        <family val="2"/>
      </rPr>
      <t xml:space="preserve"> / mbar</t>
    </r>
  </si>
  <si>
    <r>
      <t>berechneter  p</t>
    </r>
    <r>
      <rPr>
        <vertAlign val="subscript"/>
        <sz val="11"/>
        <color theme="1"/>
        <rFont val="Calibri"/>
        <family val="2"/>
        <scheme val="minor"/>
      </rPr>
      <t>Ges</t>
    </r>
    <r>
      <rPr>
        <sz val="11"/>
        <color theme="1"/>
        <rFont val="Calibri"/>
        <family val="2"/>
        <scheme val="minor"/>
      </rPr>
      <t xml:space="preserve"> / mbar</t>
    </r>
  </si>
  <si>
    <t>Claire Poorters</t>
  </si>
  <si>
    <t>F2</t>
  </si>
  <si>
    <t>R</t>
  </si>
  <si>
    <t>T / K</t>
  </si>
  <si>
    <r>
      <t>x</t>
    </r>
    <r>
      <rPr>
        <sz val="8"/>
        <color theme="1"/>
        <rFont val="Calibri (Body)"/>
      </rPr>
      <t>B</t>
    </r>
  </si>
  <si>
    <r>
      <t>ln(y</t>
    </r>
    <r>
      <rPr>
        <sz val="8"/>
        <color theme="1"/>
        <rFont val="Calibri (Body)"/>
      </rPr>
      <t>B</t>
    </r>
    <r>
      <rPr>
        <sz val="11"/>
        <color theme="1"/>
        <rFont val="Calibri"/>
        <family val="2"/>
        <scheme val="minor"/>
      </rPr>
      <t>)</t>
    </r>
  </si>
  <si>
    <r>
      <t>ln(y</t>
    </r>
    <r>
      <rPr>
        <sz val="8"/>
        <color theme="1"/>
        <rFont val="Calibri (Body)"/>
      </rPr>
      <t>A</t>
    </r>
    <r>
      <rPr>
        <sz val="11"/>
        <color theme="1"/>
        <rFont val="Calibri"/>
        <family val="2"/>
        <scheme val="minor"/>
      </rPr>
      <t>)</t>
    </r>
  </si>
  <si>
    <t>xA</t>
  </si>
  <si>
    <r>
      <t>x</t>
    </r>
    <r>
      <rPr>
        <sz val="8"/>
        <color theme="1"/>
        <rFont val="Calibri (Body)"/>
      </rPr>
      <t>A</t>
    </r>
  </si>
  <si>
    <t>xB</t>
  </si>
  <si>
    <t>Tabelle 5</t>
  </si>
  <si>
    <r>
      <t>F</t>
    </r>
    <r>
      <rPr>
        <sz val="8"/>
        <color theme="1"/>
        <rFont val="Calibri (Body)"/>
      </rPr>
      <t>A</t>
    </r>
  </si>
  <si>
    <r>
      <t>F</t>
    </r>
    <r>
      <rPr>
        <sz val="8"/>
        <color theme="1"/>
        <rFont val="Calibri (Body)"/>
      </rPr>
      <t>B</t>
    </r>
  </si>
  <si>
    <r>
      <t>x</t>
    </r>
    <r>
      <rPr>
        <sz val="8"/>
        <color theme="1"/>
        <rFont val="Calibri (Body)"/>
      </rPr>
      <t>A</t>
    </r>
    <r>
      <rPr>
        <sz val="11"/>
        <color theme="1"/>
        <rFont val="Calibri"/>
        <family val="2"/>
        <scheme val="minor"/>
      </rPr>
      <t>/x</t>
    </r>
    <r>
      <rPr>
        <sz val="8"/>
        <color theme="1"/>
        <rFont val="Calibri (Body)"/>
      </rPr>
      <t>B</t>
    </r>
  </si>
  <si>
    <r>
      <t>F</t>
    </r>
    <r>
      <rPr>
        <sz val="8"/>
        <color theme="1"/>
        <rFont val="Calibri (Body)"/>
      </rPr>
      <t>A</t>
    </r>
    <r>
      <rPr>
        <sz val="11"/>
        <color theme="1"/>
        <rFont val="Calibri"/>
        <family val="2"/>
        <scheme val="minor"/>
      </rPr>
      <t>/F</t>
    </r>
    <r>
      <rPr>
        <sz val="8"/>
        <color theme="1"/>
        <rFont val="Calibri (Body)"/>
      </rPr>
      <t>B</t>
    </r>
  </si>
  <si>
    <r>
      <t>x</t>
    </r>
    <r>
      <rPr>
        <sz val="8"/>
        <color theme="1"/>
        <rFont val="Calibri (Body)"/>
      </rPr>
      <t>B</t>
    </r>
    <r>
      <rPr>
        <sz val="11"/>
        <color theme="1"/>
        <rFont val="Calibri"/>
        <family val="2"/>
        <scheme val="minor"/>
      </rPr>
      <t>/x</t>
    </r>
    <r>
      <rPr>
        <sz val="8"/>
        <color theme="1"/>
        <rFont val="Calibri (Body)"/>
      </rPr>
      <t>A</t>
    </r>
  </si>
  <si>
    <r>
      <t>F</t>
    </r>
    <r>
      <rPr>
        <sz val="8"/>
        <color theme="1"/>
        <rFont val="Calibri (Body)"/>
      </rPr>
      <t>B</t>
    </r>
    <r>
      <rPr>
        <sz val="11"/>
        <color theme="1"/>
        <rFont val="Calibri"/>
        <family val="2"/>
        <scheme val="minor"/>
      </rPr>
      <t>/F</t>
    </r>
    <r>
      <rPr>
        <sz val="8"/>
        <color theme="1"/>
        <rFont val="Calibri (Body)"/>
      </rPr>
      <t>A</t>
    </r>
  </si>
  <si>
    <r>
      <t>F</t>
    </r>
    <r>
      <rPr>
        <sz val="8"/>
        <color theme="1"/>
        <rFont val="Calibri (Body)"/>
      </rPr>
      <t>A vap</t>
    </r>
  </si>
  <si>
    <r>
      <t>F</t>
    </r>
    <r>
      <rPr>
        <sz val="8"/>
        <color theme="1"/>
        <rFont val="Calibri (Body)"/>
      </rPr>
      <t>B vap</t>
    </r>
  </si>
  <si>
    <r>
      <t xml:space="preserve">T </t>
    </r>
    <r>
      <rPr>
        <sz val="8"/>
        <color theme="1"/>
        <rFont val="Calibri (Body)"/>
      </rPr>
      <t>bp</t>
    </r>
    <r>
      <rPr>
        <sz val="11"/>
        <color theme="1"/>
        <rFont val="Calibri"/>
        <family val="2"/>
        <scheme val="minor"/>
      </rPr>
      <t xml:space="preserve"> / K</t>
    </r>
  </si>
  <si>
    <r>
      <t>y</t>
    </r>
    <r>
      <rPr>
        <sz val="8"/>
        <color theme="1"/>
        <rFont val="Calibri (Body)"/>
      </rPr>
      <t>A vap</t>
    </r>
  </si>
  <si>
    <r>
      <t>y</t>
    </r>
    <r>
      <rPr>
        <sz val="8"/>
        <color theme="1"/>
        <rFont val="Calibri (Body)"/>
      </rPr>
      <t>B vap</t>
    </r>
  </si>
  <si>
    <t>± 343,98</t>
  </si>
  <si>
    <r>
      <t>P</t>
    </r>
    <r>
      <rPr>
        <sz val="6"/>
        <color theme="1"/>
        <rFont val="Calibri"/>
        <family val="2"/>
        <scheme val="minor"/>
      </rPr>
      <t xml:space="preserve">ges,exp </t>
    </r>
    <r>
      <rPr>
        <sz val="9"/>
        <color theme="1"/>
        <rFont val="Calibri"/>
        <family val="2"/>
        <scheme val="minor"/>
      </rPr>
      <t>/ mbar</t>
    </r>
  </si>
  <si>
    <r>
      <t>P</t>
    </r>
    <r>
      <rPr>
        <sz val="6"/>
        <color theme="1"/>
        <rFont val="Calibri"/>
        <family val="2"/>
        <scheme val="minor"/>
      </rPr>
      <t xml:space="preserve">ges,theo </t>
    </r>
    <r>
      <rPr>
        <sz val="9"/>
        <color theme="1"/>
        <rFont val="Calibri"/>
        <family val="2"/>
        <scheme val="minor"/>
      </rPr>
      <t>/ mbar</t>
    </r>
  </si>
  <si>
    <r>
      <t>P</t>
    </r>
    <r>
      <rPr>
        <sz val="6"/>
        <color theme="1"/>
        <rFont val="Calibri"/>
        <family val="2"/>
        <scheme val="minor"/>
      </rPr>
      <t xml:space="preserve">A,theo </t>
    </r>
    <r>
      <rPr>
        <sz val="9"/>
        <color theme="1"/>
        <rFont val="Calibri"/>
        <family val="2"/>
        <scheme val="minor"/>
      </rPr>
      <t>/ mbar</t>
    </r>
  </si>
  <si>
    <r>
      <t>P</t>
    </r>
    <r>
      <rPr>
        <sz val="6"/>
        <color theme="1"/>
        <rFont val="Calibri"/>
        <family val="2"/>
        <scheme val="minor"/>
      </rPr>
      <t xml:space="preserve">B,theo </t>
    </r>
    <r>
      <rPr>
        <sz val="9"/>
        <color theme="1"/>
        <rFont val="Calibri"/>
        <family val="2"/>
        <scheme val="minor"/>
      </rPr>
      <t>/ mbar</t>
    </r>
  </si>
  <si>
    <r>
      <t>P</t>
    </r>
    <r>
      <rPr>
        <sz val="6"/>
        <color theme="1"/>
        <rFont val="Calibri"/>
        <family val="2"/>
        <scheme val="minor"/>
      </rPr>
      <t xml:space="preserve">ges,ideal </t>
    </r>
    <r>
      <rPr>
        <sz val="9"/>
        <color theme="1"/>
        <rFont val="Calibri"/>
        <family val="2"/>
        <scheme val="minor"/>
      </rPr>
      <t>/ mbar</t>
    </r>
  </si>
  <si>
    <r>
      <t>P</t>
    </r>
    <r>
      <rPr>
        <sz val="6"/>
        <color theme="1"/>
        <rFont val="Calibri"/>
        <family val="2"/>
        <scheme val="minor"/>
      </rPr>
      <t xml:space="preserve">A,ideal </t>
    </r>
    <r>
      <rPr>
        <sz val="9"/>
        <color theme="1"/>
        <rFont val="Calibri"/>
        <family val="2"/>
        <scheme val="minor"/>
      </rPr>
      <t>/ mbar</t>
    </r>
  </si>
  <si>
    <r>
      <t>P</t>
    </r>
    <r>
      <rPr>
        <sz val="6"/>
        <color theme="1"/>
        <rFont val="Calibri"/>
        <family val="2"/>
        <scheme val="minor"/>
      </rPr>
      <t xml:space="preserve">B,ideal </t>
    </r>
    <r>
      <rPr>
        <sz val="9"/>
        <color theme="1"/>
        <rFont val="Calibri"/>
        <family val="2"/>
        <scheme val="minor"/>
      </rPr>
      <t>/ mbar</t>
    </r>
  </si>
  <si>
    <t>TABELLE 2</t>
  </si>
  <si>
    <t>TABELLE 3</t>
  </si>
  <si>
    <r>
      <t>y</t>
    </r>
    <r>
      <rPr>
        <sz val="8"/>
        <color theme="1"/>
        <rFont val="Calibri (Body)"/>
      </rPr>
      <t>theo</t>
    </r>
  </si>
  <si>
    <t xml:space="preserve"> T / °C = 20</t>
  </si>
  <si>
    <r>
      <t>x</t>
    </r>
    <r>
      <rPr>
        <sz val="8"/>
        <color theme="1"/>
        <rFont val="Calibri (Body)"/>
      </rPr>
      <t>B,exp</t>
    </r>
  </si>
  <si>
    <r>
      <t xml:space="preserve">p </t>
    </r>
    <r>
      <rPr>
        <sz val="8"/>
        <color theme="1"/>
        <rFont val="Calibri (Body)"/>
      </rPr>
      <t>ges,exp</t>
    </r>
    <r>
      <rPr>
        <sz val="11"/>
        <color theme="1"/>
        <rFont val="Calibri"/>
        <family val="2"/>
        <scheme val="minor"/>
      </rPr>
      <t xml:space="preserve"> / mbar</t>
    </r>
  </si>
  <si>
    <r>
      <t xml:space="preserve">p </t>
    </r>
    <r>
      <rPr>
        <sz val="8"/>
        <color theme="1"/>
        <rFont val="Calibri (Body)"/>
      </rPr>
      <t>ges,theo</t>
    </r>
    <r>
      <rPr>
        <sz val="11"/>
        <color theme="1"/>
        <rFont val="Calibri"/>
        <family val="2"/>
        <scheme val="minor"/>
      </rPr>
      <t xml:space="preserve"> / mbar</t>
    </r>
  </si>
  <si>
    <r>
      <t xml:space="preserve">p </t>
    </r>
    <r>
      <rPr>
        <sz val="8"/>
        <color theme="1"/>
        <rFont val="Calibri (Body)"/>
      </rPr>
      <t>B,theo</t>
    </r>
    <r>
      <rPr>
        <sz val="11"/>
        <color theme="1"/>
        <rFont val="Calibri"/>
        <family val="2"/>
        <scheme val="minor"/>
      </rPr>
      <t xml:space="preserve"> / mbar</t>
    </r>
  </si>
  <si>
    <t>TABELLE 4</t>
  </si>
  <si>
    <t>yA</t>
  </si>
  <si>
    <t>TABELLE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</si>
</sst>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vertAlign val="subscript"/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indexed="8"/>
      <name val="Calibri"/>
      <family val="2"/>
    </font>
    <font>
      <vertAlign val="subscript"/>
      <sz val="11"/>
      <color theme="1"/>
      <name val="Calibri"/>
      <family val="2"/>
      <scheme val="minor"/>
    </font>
    <font>
      <i/>
      <vertAlign val="subscript"/>
      <sz val="11"/>
      <color indexed="8"/>
      <name val="Calibri"/>
      <family val="2"/>
    </font>
    <font>
      <b/>
      <sz val="11"/>
      <color indexed="8"/>
      <name val="Symbol"/>
      <family val="1"/>
      <charset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vertAlign val="superscript"/>
      <sz val="11"/>
      <color indexed="8"/>
      <name val="Calibri"/>
      <family val="2"/>
    </font>
    <font>
      <i/>
      <sz val="12"/>
      <color indexed="8"/>
      <name val="Calibri"/>
      <family val="2"/>
    </font>
    <font>
      <sz val="12"/>
      <color indexed="8"/>
      <name val="Calibri"/>
      <family val="2"/>
    </font>
    <font>
      <vertAlign val="subscript"/>
      <sz val="12"/>
      <color theme="1"/>
      <name val="Calibri"/>
      <family val="2"/>
      <scheme val="minor"/>
    </font>
    <font>
      <vertAlign val="subscript"/>
      <sz val="12"/>
      <color rgb="FF000000"/>
      <name val="Calibri"/>
      <family val="2"/>
    </font>
    <font>
      <b/>
      <sz val="11"/>
      <color indexed="8"/>
      <name val="Calibri"/>
      <family val="1"/>
      <charset val="2"/>
    </font>
    <font>
      <sz val="11"/>
      <color theme="1"/>
      <name val="Symbol"/>
      <family val="1"/>
      <charset val="2"/>
    </font>
    <font>
      <sz val="11"/>
      <color rgb="FF000000"/>
      <name val="Calibri"/>
      <family val="2"/>
    </font>
    <font>
      <vertAlign val="subscript"/>
      <sz val="11"/>
      <color rgb="FF000000"/>
      <name val="Calibri"/>
      <family val="2"/>
    </font>
    <font>
      <sz val="8"/>
      <color theme="1"/>
      <name val="Calibri (Body)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4DDEE"/>
        <bgColor indexed="64"/>
      </patternFill>
    </fill>
  </fills>
  <borders count="6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/>
      <top/>
      <bottom style="medium">
        <color rgb="FFFF0000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7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right" vertical="top" wrapText="1"/>
      <protection locked="0"/>
    </xf>
    <xf numFmtId="0" fontId="6" fillId="0" borderId="1" xfId="0" applyFont="1" applyBorder="1"/>
    <xf numFmtId="0" fontId="0" fillId="0" borderId="6" xfId="0" applyBorder="1" applyAlignment="1">
      <alignment horizontal="center"/>
    </xf>
    <xf numFmtId="0" fontId="6" fillId="0" borderId="3" xfId="0" applyFont="1" applyBorder="1"/>
    <xf numFmtId="0" fontId="0" fillId="0" borderId="4" xfId="0" applyBorder="1" applyAlignment="1">
      <alignment horizontal="center"/>
    </xf>
    <xf numFmtId="0" fontId="6" fillId="0" borderId="2" xfId="0" applyFont="1" applyBorder="1"/>
    <xf numFmtId="165" fontId="0" fillId="0" borderId="2" xfId="0" applyNumberFormat="1" applyBorder="1"/>
    <xf numFmtId="0" fontId="0" fillId="0" borderId="2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6" fillId="0" borderId="8" xfId="0" applyFont="1" applyBorder="1" applyAlignment="1">
      <alignment horizontal="center" wrapText="1"/>
    </xf>
    <xf numFmtId="0" fontId="0" fillId="0" borderId="11" xfId="0" applyBorder="1" applyAlignment="1">
      <alignment horizontal="right" vertical="top" wrapText="1"/>
    </xf>
    <xf numFmtId="0" fontId="0" fillId="0" borderId="12" xfId="0" applyBorder="1" applyAlignment="1">
      <alignment horizontal="right" vertical="top" wrapText="1"/>
    </xf>
    <xf numFmtId="0" fontId="0" fillId="0" borderId="13" xfId="0" applyBorder="1" applyAlignment="1">
      <alignment horizontal="right" vertical="top" wrapText="1"/>
    </xf>
    <xf numFmtId="0" fontId="0" fillId="0" borderId="6" xfId="0" applyBorder="1"/>
    <xf numFmtId="2" fontId="0" fillId="0" borderId="9" xfId="0" quotePrefix="1" applyNumberFormat="1" applyBorder="1" applyAlignment="1">
      <alignment horizontal="right"/>
    </xf>
    <xf numFmtId="2" fontId="0" fillId="0" borderId="10" xfId="0" quotePrefix="1" applyNumberFormat="1" applyBorder="1" applyAlignment="1">
      <alignment horizontal="right"/>
    </xf>
    <xf numFmtId="0" fontId="11" fillId="2" borderId="16" xfId="0" applyFont="1" applyFill="1" applyBorder="1"/>
    <xf numFmtId="0" fontId="11" fillId="2" borderId="17" xfId="0" applyFont="1" applyFill="1" applyBorder="1"/>
    <xf numFmtId="0" fontId="13" fillId="2" borderId="0" xfId="0" applyFont="1" applyFill="1"/>
    <xf numFmtId="0" fontId="12" fillId="2" borderId="0" xfId="0" applyFont="1" applyFill="1"/>
    <xf numFmtId="0" fontId="0" fillId="2" borderId="0" xfId="0" applyFill="1" applyProtection="1">
      <protection locked="0"/>
    </xf>
    <xf numFmtId="0" fontId="0" fillId="2" borderId="0" xfId="0" applyFill="1"/>
    <xf numFmtId="0" fontId="11" fillId="2" borderId="15" xfId="0" applyFont="1" applyFill="1" applyBorder="1" applyAlignment="1">
      <alignment horizontal="left"/>
    </xf>
    <xf numFmtId="0" fontId="19" fillId="0" borderId="18" xfId="0" applyFont="1" applyBorder="1"/>
    <xf numFmtId="0" fontId="2" fillId="0" borderId="20" xfId="0" applyFont="1" applyBorder="1" applyAlignment="1">
      <alignment horizontal="center" vertical="top" wrapText="1"/>
    </xf>
    <xf numFmtId="2" fontId="0" fillId="0" borderId="23" xfId="0" quotePrefix="1" applyNumberFormat="1" applyBorder="1" applyAlignment="1">
      <alignment horizontal="right"/>
    </xf>
    <xf numFmtId="2" fontId="0" fillId="0" borderId="24" xfId="0" quotePrefix="1" applyNumberFormat="1" applyBorder="1" applyAlignment="1">
      <alignment horizontal="right"/>
    </xf>
    <xf numFmtId="0" fontId="0" fillId="0" borderId="26" xfId="0" applyBorder="1" applyAlignment="1">
      <alignment horizontal="right" vertical="top" wrapText="1"/>
    </xf>
    <xf numFmtId="0" fontId="0" fillId="0" borderId="30" xfId="0" applyBorder="1" applyAlignment="1">
      <alignment horizontal="center" vertical="top" wrapText="1"/>
    </xf>
    <xf numFmtId="0" fontId="2" fillId="0" borderId="31" xfId="0" applyFont="1" applyBorder="1" applyAlignment="1">
      <alignment horizontal="center" vertical="top" wrapText="1"/>
    </xf>
    <xf numFmtId="2" fontId="0" fillId="0" borderId="21" xfId="0" quotePrefix="1" applyNumberFormat="1" applyBorder="1" applyAlignment="1">
      <alignment horizontal="right"/>
    </xf>
    <xf numFmtId="2" fontId="0" fillId="0" borderId="22" xfId="0" quotePrefix="1" applyNumberFormat="1" applyBorder="1" applyAlignment="1">
      <alignment horizontal="right"/>
    </xf>
    <xf numFmtId="0" fontId="6" fillId="0" borderId="28" xfId="0" applyFont="1" applyBorder="1" applyAlignment="1">
      <alignment horizontal="center" wrapText="1"/>
    </xf>
    <xf numFmtId="0" fontId="0" fillId="3" borderId="29" xfId="0" applyFill="1" applyBorder="1" applyAlignment="1">
      <alignment horizontal="center"/>
    </xf>
    <xf numFmtId="0" fontId="0" fillId="0" borderId="30" xfId="0" applyBorder="1" applyAlignment="1">
      <alignment horizontal="right" vertical="top" wrapText="1"/>
    </xf>
    <xf numFmtId="0" fontId="21" fillId="0" borderId="31" xfId="0" applyFont="1" applyBorder="1" applyAlignment="1">
      <alignment horizontal="right" vertical="top" wrapText="1"/>
    </xf>
    <xf numFmtId="2" fontId="0" fillId="0" borderId="39" xfId="0" quotePrefix="1" applyNumberFormat="1" applyBorder="1" applyAlignment="1">
      <alignment horizontal="right"/>
    </xf>
    <xf numFmtId="2" fontId="0" fillId="0" borderId="40" xfId="0" quotePrefix="1" applyNumberFormat="1" applyBorder="1" applyAlignment="1">
      <alignment horizontal="right"/>
    </xf>
    <xf numFmtId="2" fontId="0" fillId="0" borderId="41" xfId="0" quotePrefix="1" applyNumberFormat="1" applyBorder="1" applyAlignment="1">
      <alignment horizontal="right"/>
    </xf>
    <xf numFmtId="0" fontId="0" fillId="0" borderId="0" xfId="0" applyAlignment="1" applyProtection="1">
      <alignment horizontal="center"/>
      <protection locked="0"/>
    </xf>
    <xf numFmtId="166" fontId="0" fillId="0" borderId="34" xfId="0" applyNumberFormat="1" applyBorder="1" applyProtection="1">
      <protection locked="0"/>
    </xf>
    <xf numFmtId="166" fontId="0" fillId="0" borderId="35" xfId="0" applyNumberFormat="1" applyBorder="1" applyProtection="1">
      <protection locked="0"/>
    </xf>
    <xf numFmtId="166" fontId="0" fillId="0" borderId="36" xfId="0" applyNumberFormat="1" applyBorder="1" applyProtection="1">
      <protection locked="0"/>
    </xf>
    <xf numFmtId="166" fontId="0" fillId="0" borderId="38" xfId="0" applyNumberFormat="1" applyBorder="1" applyProtection="1">
      <protection locked="0"/>
    </xf>
    <xf numFmtId="0" fontId="0" fillId="0" borderId="46" xfId="0" applyBorder="1" applyAlignment="1" applyProtection="1">
      <alignment horizontal="center"/>
      <protection locked="0"/>
    </xf>
    <xf numFmtId="0" fontId="0" fillId="0" borderId="47" xfId="0" applyBorder="1" applyAlignment="1" applyProtection="1">
      <alignment horizontal="center"/>
      <protection locked="0"/>
    </xf>
    <xf numFmtId="0" fontId="0" fillId="0" borderId="48" xfId="0" applyBorder="1" applyAlignment="1" applyProtection="1">
      <alignment horizontal="center"/>
      <protection locked="0"/>
    </xf>
    <xf numFmtId="165" fontId="0" fillId="0" borderId="50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65" fontId="0" fillId="0" borderId="41" xfId="0" applyNumberFormat="1" applyBorder="1" applyProtection="1">
      <protection locked="0"/>
    </xf>
    <xf numFmtId="0" fontId="0" fillId="0" borderId="12" xfId="0" applyBorder="1"/>
    <xf numFmtId="2" fontId="0" fillId="4" borderId="0" xfId="0" applyNumberFormat="1" applyFill="1"/>
    <xf numFmtId="2" fontId="0" fillId="0" borderId="0" xfId="0" applyNumberFormat="1"/>
    <xf numFmtId="0" fontId="0" fillId="4" borderId="2" xfId="0" applyFill="1" applyBorder="1" applyProtection="1">
      <protection locked="0"/>
    </xf>
    <xf numFmtId="0" fontId="0" fillId="4" borderId="0" xfId="0" applyFill="1" applyAlignment="1" applyProtection="1">
      <alignment horizontal="center"/>
      <protection locked="0"/>
    </xf>
    <xf numFmtId="165" fontId="0" fillId="4" borderId="32" xfId="0" applyNumberFormat="1" applyFill="1" applyBorder="1"/>
    <xf numFmtId="2" fontId="0" fillId="4" borderId="25" xfId="0" applyNumberFormat="1" applyFill="1" applyBorder="1" applyProtection="1">
      <protection locked="0"/>
    </xf>
    <xf numFmtId="2" fontId="0" fillId="4" borderId="33" xfId="0" applyNumberFormat="1" applyFill="1" applyBorder="1"/>
    <xf numFmtId="165" fontId="0" fillId="4" borderId="34" xfId="0" applyNumberFormat="1" applyFill="1" applyBorder="1"/>
    <xf numFmtId="2" fontId="0" fillId="4" borderId="0" xfId="0" applyNumberFormat="1" applyFill="1" applyProtection="1">
      <protection locked="0"/>
    </xf>
    <xf numFmtId="2" fontId="0" fillId="4" borderId="35" xfId="0" applyNumberFormat="1" applyFill="1" applyBorder="1"/>
    <xf numFmtId="165" fontId="0" fillId="4" borderId="36" xfId="0" applyNumberFormat="1" applyFill="1" applyBorder="1" applyAlignment="1">
      <alignment horizontal="right"/>
    </xf>
    <xf numFmtId="2" fontId="0" fillId="4" borderId="37" xfId="0" applyNumberFormat="1" applyFill="1" applyBorder="1" applyProtection="1">
      <protection locked="0"/>
    </xf>
    <xf numFmtId="2" fontId="0" fillId="4" borderId="38" xfId="0" applyNumberFormat="1" applyFill="1" applyBorder="1"/>
    <xf numFmtId="2" fontId="0" fillId="4" borderId="34" xfId="0" applyNumberFormat="1" applyFill="1" applyBorder="1"/>
    <xf numFmtId="165" fontId="0" fillId="4" borderId="14" xfId="0" applyNumberFormat="1" applyFill="1" applyBorder="1"/>
    <xf numFmtId="165" fontId="0" fillId="4" borderId="20" xfId="0" applyNumberFormat="1" applyFill="1" applyBorder="1"/>
    <xf numFmtId="164" fontId="0" fillId="4" borderId="33" xfId="0" applyNumberFormat="1" applyFill="1" applyBorder="1"/>
    <xf numFmtId="165" fontId="0" fillId="4" borderId="9" xfId="0" applyNumberFormat="1" applyFill="1" applyBorder="1"/>
    <xf numFmtId="165" fontId="0" fillId="4" borderId="21" xfId="0" applyNumberFormat="1" applyFill="1" applyBorder="1"/>
    <xf numFmtId="164" fontId="0" fillId="4" borderId="35" xfId="0" applyNumberFormat="1" applyFill="1" applyBorder="1"/>
    <xf numFmtId="165" fontId="0" fillId="4" borderId="41" xfId="0" applyNumberFormat="1" applyFill="1" applyBorder="1"/>
    <xf numFmtId="165" fontId="0" fillId="4" borderId="42" xfId="0" applyNumberFormat="1" applyFill="1" applyBorder="1"/>
    <xf numFmtId="164" fontId="0" fillId="4" borderId="38" xfId="0" applyNumberFormat="1" applyFill="1" applyBorder="1"/>
    <xf numFmtId="164" fontId="0" fillId="4" borderId="4" xfId="0" applyNumberFormat="1" applyFill="1" applyBorder="1"/>
    <xf numFmtId="165" fontId="0" fillId="4" borderId="10" xfId="0" applyNumberFormat="1" applyFill="1" applyBorder="1"/>
    <xf numFmtId="164" fontId="0" fillId="4" borderId="5" xfId="0" applyNumberFormat="1" applyFill="1" applyBorder="1"/>
    <xf numFmtId="0" fontId="0" fillId="4" borderId="7" xfId="0" applyFill="1" applyBorder="1"/>
    <xf numFmtId="1" fontId="0" fillId="4" borderId="19" xfId="0" applyNumberFormat="1" applyFill="1" applyBorder="1" applyProtection="1">
      <protection locked="0"/>
    </xf>
    <xf numFmtId="0" fontId="24" fillId="0" borderId="0" xfId="0" applyFont="1"/>
    <xf numFmtId="165" fontId="0" fillId="0" borderId="36" xfId="0" applyNumberFormat="1" applyBorder="1" applyAlignment="1">
      <alignment horizontal="right"/>
    </xf>
    <xf numFmtId="0" fontId="24" fillId="0" borderId="50" xfId="0" applyFont="1" applyBorder="1" applyAlignment="1">
      <alignment horizontal="center"/>
    </xf>
    <xf numFmtId="0" fontId="0" fillId="0" borderId="54" xfId="0" applyBorder="1" applyAlignment="1" applyProtection="1">
      <alignment horizontal="center"/>
      <protection locked="0"/>
    </xf>
    <xf numFmtId="0" fontId="0" fillId="0" borderId="50" xfId="0" applyBorder="1" applyAlignment="1" applyProtection="1">
      <alignment horizontal="center"/>
      <protection locked="0"/>
    </xf>
    <xf numFmtId="0" fontId="24" fillId="0" borderId="55" xfId="0" applyFont="1" applyBorder="1" applyAlignment="1">
      <alignment horizontal="center"/>
    </xf>
    <xf numFmtId="165" fontId="0" fillId="0" borderId="44" xfId="0" applyNumberFormat="1" applyBorder="1" applyAlignment="1" applyProtection="1">
      <alignment horizontal="right"/>
      <protection locked="0"/>
    </xf>
    <xf numFmtId="164" fontId="0" fillId="0" borderId="49" xfId="0" applyNumberFormat="1" applyBorder="1" applyAlignment="1">
      <alignment horizontal="right"/>
    </xf>
    <xf numFmtId="165" fontId="0" fillId="0" borderId="0" xfId="0" applyNumberFormat="1" applyAlignment="1" applyProtection="1">
      <alignment horizontal="right"/>
      <protection locked="0"/>
    </xf>
    <xf numFmtId="164" fontId="0" fillId="0" borderId="21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37" xfId="0" applyNumberFormat="1" applyBorder="1" applyAlignment="1">
      <alignment horizontal="right"/>
    </xf>
    <xf numFmtId="164" fontId="0" fillId="0" borderId="42" xfId="0" applyNumberFormat="1" applyBorder="1" applyAlignment="1">
      <alignment horizontal="right"/>
    </xf>
    <xf numFmtId="165" fontId="0" fillId="0" borderId="43" xfId="0" applyNumberFormat="1" applyBorder="1" applyAlignment="1">
      <alignment horizontal="right"/>
    </xf>
    <xf numFmtId="2" fontId="0" fillId="0" borderId="44" xfId="0" applyNumberFormat="1" applyBorder="1" applyAlignment="1" applyProtection="1">
      <alignment horizontal="right"/>
      <protection locked="0"/>
    </xf>
    <xf numFmtId="165" fontId="0" fillId="0" borderId="34" xfId="0" applyNumberFormat="1" applyBorder="1" applyAlignment="1">
      <alignment horizontal="right"/>
    </xf>
    <xf numFmtId="2" fontId="0" fillId="0" borderId="0" xfId="0" applyNumberFormat="1" applyAlignment="1" applyProtection="1">
      <alignment horizontal="right"/>
      <protection locked="0"/>
    </xf>
    <xf numFmtId="2" fontId="0" fillId="0" borderId="37" xfId="0" applyNumberFormat="1" applyBorder="1" applyAlignment="1" applyProtection="1">
      <alignment horizontal="right"/>
      <protection locked="0"/>
    </xf>
    <xf numFmtId="165" fontId="0" fillId="0" borderId="43" xfId="0" applyNumberFormat="1" applyBorder="1" applyAlignment="1" applyProtection="1">
      <alignment horizontal="right"/>
      <protection locked="0"/>
    </xf>
    <xf numFmtId="165" fontId="0" fillId="0" borderId="45" xfId="0" applyNumberFormat="1" applyBorder="1" applyProtection="1">
      <protection locked="0"/>
    </xf>
    <xf numFmtId="165" fontId="0" fillId="0" borderId="34" xfId="0" applyNumberFormat="1" applyBorder="1" applyAlignment="1" applyProtection="1">
      <alignment horizontal="right"/>
      <protection locked="0"/>
    </xf>
    <xf numFmtId="165" fontId="0" fillId="0" borderId="35" xfId="0" applyNumberFormat="1" applyBorder="1" applyProtection="1">
      <protection locked="0"/>
    </xf>
    <xf numFmtId="165" fontId="0" fillId="0" borderId="38" xfId="0" applyNumberFormat="1" applyBorder="1" applyProtection="1">
      <protection locked="0"/>
    </xf>
    <xf numFmtId="2" fontId="0" fillId="0" borderId="49" xfId="0" applyNumberFormat="1" applyBorder="1" applyAlignment="1" applyProtection="1">
      <alignment horizontal="right"/>
      <protection locked="0"/>
    </xf>
    <xf numFmtId="2" fontId="0" fillId="0" borderId="21" xfId="0" applyNumberFormat="1" applyBorder="1" applyAlignment="1" applyProtection="1">
      <alignment horizontal="right"/>
      <protection locked="0"/>
    </xf>
    <xf numFmtId="2" fontId="0" fillId="0" borderId="42" xfId="0" applyNumberFormat="1" applyBorder="1" applyAlignment="1" applyProtection="1">
      <alignment horizontal="right"/>
      <protection locked="0"/>
    </xf>
    <xf numFmtId="2" fontId="0" fillId="0" borderId="50" xfId="0" applyNumberFormat="1" applyBorder="1" applyAlignment="1" applyProtection="1">
      <alignment horizontal="right"/>
      <protection locked="0"/>
    </xf>
    <xf numFmtId="2" fontId="0" fillId="0" borderId="9" xfId="0" applyNumberFormat="1" applyBorder="1" applyAlignment="1" applyProtection="1">
      <alignment horizontal="right"/>
      <protection locked="0"/>
    </xf>
    <xf numFmtId="2" fontId="0" fillId="0" borderId="41" xfId="0" applyNumberFormat="1" applyBorder="1" applyAlignment="1" applyProtection="1">
      <alignment horizontal="right"/>
      <protection locked="0"/>
    </xf>
    <xf numFmtId="2" fontId="0" fillId="0" borderId="50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2" fontId="0" fillId="0" borderId="41" xfId="0" applyNumberFormat="1" applyBorder="1" applyProtection="1">
      <protection locked="0"/>
    </xf>
    <xf numFmtId="0" fontId="0" fillId="0" borderId="56" xfId="0" applyBorder="1" applyAlignment="1" applyProtection="1">
      <alignment horizontal="center"/>
      <protection locked="0"/>
    </xf>
    <xf numFmtId="0" fontId="0" fillId="0" borderId="57" xfId="0" applyBorder="1" applyAlignment="1" applyProtection="1">
      <alignment horizontal="center"/>
      <protection locked="0"/>
    </xf>
    <xf numFmtId="0" fontId="0" fillId="0" borderId="58" xfId="0" applyBorder="1" applyAlignment="1" applyProtection="1">
      <alignment horizontal="center"/>
      <protection locked="0"/>
    </xf>
    <xf numFmtId="166" fontId="0" fillId="0" borderId="39" xfId="0" applyNumberFormat="1" applyBorder="1" applyProtection="1">
      <protection locked="0"/>
    </xf>
    <xf numFmtId="166" fontId="0" fillId="0" borderId="40" xfId="0" applyNumberFormat="1" applyBorder="1" applyProtection="1">
      <protection locked="0"/>
    </xf>
    <xf numFmtId="166" fontId="0" fillId="0" borderId="14" xfId="0" applyNumberFormat="1" applyBorder="1" applyProtection="1">
      <protection locked="0"/>
    </xf>
    <xf numFmtId="166" fontId="0" fillId="0" borderId="9" xfId="0" applyNumberFormat="1" applyBorder="1" applyProtection="1">
      <protection locked="0"/>
    </xf>
    <xf numFmtId="166" fontId="0" fillId="0" borderId="41" xfId="0" applyNumberFormat="1" applyBorder="1" applyProtection="1">
      <protection locked="0"/>
    </xf>
    <xf numFmtId="2" fontId="0" fillId="0" borderId="14" xfId="0" applyNumberFormat="1" applyBorder="1"/>
    <xf numFmtId="2" fontId="0" fillId="0" borderId="9" xfId="0" applyNumberFormat="1" applyBorder="1"/>
    <xf numFmtId="2" fontId="0" fillId="0" borderId="41" xfId="0" applyNumberFormat="1" applyBorder="1"/>
    <xf numFmtId="0" fontId="0" fillId="0" borderId="60" xfId="0" applyBorder="1" applyAlignment="1" applyProtection="1">
      <alignment horizontal="center"/>
      <protection locked="0"/>
    </xf>
    <xf numFmtId="2" fontId="0" fillId="0" borderId="31" xfId="0" applyNumberFormat="1" applyBorder="1"/>
    <xf numFmtId="2" fontId="0" fillId="0" borderId="61" xfId="0" applyNumberFormat="1" applyBorder="1"/>
    <xf numFmtId="2" fontId="0" fillId="0" borderId="62" xfId="0" applyNumberFormat="1" applyBorder="1"/>
    <xf numFmtId="0" fontId="0" fillId="0" borderId="45" xfId="0" applyBorder="1" applyAlignment="1" applyProtection="1">
      <alignment horizontal="center"/>
      <protection locked="0"/>
    </xf>
    <xf numFmtId="2" fontId="0" fillId="0" borderId="35" xfId="0" applyNumberFormat="1" applyBorder="1"/>
    <xf numFmtId="2" fontId="0" fillId="0" borderId="38" xfId="0" applyNumberFormat="1" applyBorder="1"/>
    <xf numFmtId="164" fontId="0" fillId="0" borderId="39" xfId="0" applyNumberFormat="1" applyBorder="1" applyProtection="1">
      <protection locked="0"/>
    </xf>
    <xf numFmtId="164" fontId="0" fillId="0" borderId="40" xfId="0" applyNumberFormat="1" applyBorder="1" applyProtection="1">
      <protection locked="0"/>
    </xf>
    <xf numFmtId="0" fontId="0" fillId="0" borderId="63" xfId="0" applyBorder="1" applyProtection="1">
      <protection locked="0"/>
    </xf>
    <xf numFmtId="165" fontId="0" fillId="0" borderId="12" xfId="0" applyNumberFormat="1" applyBorder="1" applyProtection="1">
      <protection locked="0"/>
    </xf>
    <xf numFmtId="2" fontId="0" fillId="0" borderId="45" xfId="0" applyNumberFormat="1" applyBorder="1" applyAlignment="1" applyProtection="1">
      <alignment horizontal="right"/>
      <protection locked="0"/>
    </xf>
    <xf numFmtId="2" fontId="0" fillId="0" borderId="35" xfId="0" applyNumberFormat="1" applyBorder="1" applyAlignment="1" applyProtection="1">
      <alignment horizontal="right"/>
      <protection locked="0"/>
    </xf>
    <xf numFmtId="2" fontId="0" fillId="0" borderId="38" xfId="0" applyNumberFormat="1" applyBorder="1" applyAlignment="1" applyProtection="1">
      <alignment horizontal="right"/>
      <protection locked="0"/>
    </xf>
    <xf numFmtId="165" fontId="0" fillId="0" borderId="59" xfId="0" applyNumberFormat="1" applyBorder="1" applyProtection="1">
      <protection locked="0"/>
    </xf>
    <xf numFmtId="165" fontId="0" fillId="0" borderId="53" xfId="0" applyNumberFormat="1" applyBorder="1" applyProtection="1">
      <protection locked="0"/>
    </xf>
    <xf numFmtId="165" fontId="0" fillId="0" borderId="23" xfId="0" applyNumberFormat="1" applyBorder="1" applyProtection="1">
      <protection locked="0"/>
    </xf>
    <xf numFmtId="165" fontId="0" fillId="0" borderId="52" xfId="0" applyNumberFormat="1" applyBorder="1" applyProtection="1">
      <protection locked="0"/>
    </xf>
    <xf numFmtId="2" fontId="0" fillId="0" borderId="53" xfId="0" applyNumberFormat="1" applyBorder="1"/>
    <xf numFmtId="2" fontId="0" fillId="0" borderId="23" xfId="0" applyNumberFormat="1" applyBorder="1"/>
    <xf numFmtId="2" fontId="0" fillId="0" borderId="52" xfId="0" applyNumberFormat="1" applyBorder="1"/>
    <xf numFmtId="165" fontId="0" fillId="0" borderId="39" xfId="0" applyNumberFormat="1" applyBorder="1" applyProtection="1">
      <protection locked="0"/>
    </xf>
    <xf numFmtId="165" fontId="0" fillId="0" borderId="40" xfId="0" applyNumberFormat="1" applyBorder="1" applyProtection="1">
      <protection locked="0"/>
    </xf>
    <xf numFmtId="164" fontId="0" fillId="0" borderId="55" xfId="0" applyNumberFormat="1" applyBorder="1" applyAlignment="1">
      <alignment horizontal="right"/>
    </xf>
    <xf numFmtId="164" fontId="0" fillId="0" borderId="61" xfId="0" applyNumberFormat="1" applyBorder="1" applyAlignment="1">
      <alignment horizontal="right"/>
    </xf>
    <xf numFmtId="164" fontId="0" fillId="0" borderId="62" xfId="0" applyNumberFormat="1" applyBorder="1" applyAlignment="1">
      <alignment horizontal="right"/>
    </xf>
    <xf numFmtId="0" fontId="24" fillId="0" borderId="54" xfId="0" applyFont="1" applyBorder="1" applyAlignment="1">
      <alignment horizontal="center"/>
    </xf>
    <xf numFmtId="2" fontId="0" fillId="0" borderId="43" xfId="0" applyNumberFormat="1" applyBorder="1" applyAlignment="1">
      <alignment horizontal="right"/>
    </xf>
    <xf numFmtId="2" fontId="0" fillId="0" borderId="34" xfId="0" applyNumberFormat="1" applyBorder="1" applyAlignment="1">
      <alignment horizontal="right"/>
    </xf>
    <xf numFmtId="2" fontId="0" fillId="0" borderId="36" xfId="0" applyNumberFormat="1" applyBorder="1" applyAlignment="1">
      <alignment horizontal="right"/>
    </xf>
    <xf numFmtId="0" fontId="0" fillId="4" borderId="59" xfId="0" applyFill="1" applyBorder="1" applyProtection="1">
      <protection locked="0"/>
    </xf>
    <xf numFmtId="166" fontId="0" fillId="4" borderId="39" xfId="0" applyNumberFormat="1" applyFill="1" applyBorder="1" applyProtection="1">
      <protection locked="0"/>
    </xf>
    <xf numFmtId="0" fontId="0" fillId="4" borderId="40" xfId="0" applyFill="1" applyBorder="1" applyProtection="1">
      <protection locked="0"/>
    </xf>
    <xf numFmtId="0" fontId="2" fillId="0" borderId="45" xfId="0" applyFont="1" applyBorder="1" applyAlignment="1">
      <alignment horizontal="center" vertical="top" wrapText="1"/>
    </xf>
    <xf numFmtId="0" fontId="2" fillId="0" borderId="51" xfId="0" applyFont="1" applyBorder="1" applyAlignment="1">
      <alignment horizontal="center" vertical="top" wrapText="1"/>
    </xf>
    <xf numFmtId="2" fontId="0" fillId="4" borderId="53" xfId="0" applyNumberFormat="1" applyFill="1" applyBorder="1" applyProtection="1">
      <protection locked="0"/>
    </xf>
    <xf numFmtId="2" fontId="0" fillId="4" borderId="23" xfId="0" applyNumberFormat="1" applyFill="1" applyBorder="1" applyProtection="1">
      <protection locked="0"/>
    </xf>
    <xf numFmtId="2" fontId="0" fillId="4" borderId="52" xfId="0" applyNumberFormat="1" applyFill="1" applyBorder="1" applyProtection="1">
      <protection locked="0"/>
    </xf>
    <xf numFmtId="0" fontId="0" fillId="4" borderId="33" xfId="0" applyFill="1" applyBorder="1" applyProtection="1">
      <protection locked="0"/>
    </xf>
    <xf numFmtId="166" fontId="0" fillId="4" borderId="35" xfId="0" applyNumberFormat="1" applyFill="1" applyBorder="1" applyProtection="1">
      <protection locked="0"/>
    </xf>
    <xf numFmtId="0" fontId="0" fillId="4" borderId="38" xfId="0" applyFill="1" applyBorder="1" applyProtection="1">
      <protection locked="0"/>
    </xf>
    <xf numFmtId="165" fontId="0" fillId="4" borderId="0" xfId="0" applyNumberFormat="1" applyFill="1" applyAlignment="1">
      <alignment horizontal="center"/>
    </xf>
    <xf numFmtId="0" fontId="0" fillId="4" borderId="0" xfId="0" applyFill="1" applyAlignment="1" applyProtection="1">
      <alignment horizontal="center"/>
      <protection locked="0"/>
    </xf>
    <xf numFmtId="0" fontId="6" fillId="0" borderId="8" xfId="0" applyFont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7" xfId="0" applyFont="1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6" fillId="0" borderId="27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A4DDEE"/>
      <color rgb="FFFCBA60"/>
      <color rgb="FFFFA300"/>
      <color rgb="FFFFDB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68</xdr:row>
      <xdr:rowOff>0</xdr:rowOff>
    </xdr:from>
    <xdr:to>
      <xdr:col>2</xdr:col>
      <xdr:colOff>444500</xdr:colOff>
      <xdr:row>68</xdr:row>
      <xdr:rowOff>4601</xdr:rowOff>
    </xdr:to>
    <xdr:pic>
      <xdr:nvPicPr>
        <xdr:cNvPr id="3" name="Picture 2" descr="page3image2189264">
          <a:extLst>
            <a:ext uri="{FF2B5EF4-FFF2-40B4-BE49-F238E27FC236}">
              <a16:creationId xmlns:a16="http://schemas.microsoft.com/office/drawing/2014/main" id="{5D88CA44-30B6-3D06-A1F9-BB0B33E23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754100"/>
          <a:ext cx="4445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13</xdr:col>
      <xdr:colOff>0</xdr:colOff>
      <xdr:row>68</xdr:row>
      <xdr:rowOff>0</xdr:rowOff>
    </xdr:from>
    <xdr:ext cx="444500" cy="4601"/>
    <xdr:pic>
      <xdr:nvPicPr>
        <xdr:cNvPr id="5" name="Picture 4" descr="page3image2189264">
          <a:extLst>
            <a:ext uri="{FF2B5EF4-FFF2-40B4-BE49-F238E27FC236}">
              <a16:creationId xmlns:a16="http://schemas.microsoft.com/office/drawing/2014/main" id="{9DBD0360-6FBC-DE4F-84EE-862084771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8160" y="13909040"/>
          <a:ext cx="444500" cy="4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5"/>
  <sheetViews>
    <sheetView tabSelected="1" topLeftCell="A20" zoomScale="90" zoomScaleNormal="207" workbookViewId="0">
      <selection activeCell="F37" sqref="F37"/>
    </sheetView>
  </sheetViews>
  <sheetFormatPr baseColWidth="10" defaultColWidth="11.5" defaultRowHeight="15" x14ac:dyDescent="0.2"/>
  <cols>
    <col min="1" max="1" width="24.33203125" style="1" customWidth="1"/>
    <col min="2" max="8" width="15.6640625" style="1" customWidth="1"/>
    <col min="9" max="9" width="16.1640625" style="1" customWidth="1"/>
    <col min="10" max="14" width="15.6640625" style="1" customWidth="1"/>
    <col min="15" max="16384" width="11.5" style="1"/>
  </cols>
  <sheetData>
    <row r="1" spans="1:14" ht="21" thickTop="1" thickBot="1" x14ac:dyDescent="0.3">
      <c r="A1" s="3" t="s">
        <v>0</v>
      </c>
      <c r="B1" s="56" t="s">
        <v>32</v>
      </c>
      <c r="C1" s="4"/>
      <c r="D1"/>
      <c r="E1" s="21" t="s">
        <v>19</v>
      </c>
      <c r="F1" s="22"/>
      <c r="G1" s="22"/>
      <c r="H1" s="22"/>
      <c r="I1" s="22"/>
      <c r="J1"/>
      <c r="K1" s="25" t="s">
        <v>22</v>
      </c>
      <c r="L1" s="23"/>
      <c r="M1"/>
    </row>
    <row r="2" spans="1:14" x14ac:dyDescent="0.2">
      <c r="A2" s="5" t="s">
        <v>1</v>
      </c>
      <c r="B2" s="57" t="s">
        <v>33</v>
      </c>
      <c r="C2" s="6" t="s">
        <v>4</v>
      </c>
      <c r="D2"/>
      <c r="E2" s="22" t="s">
        <v>23</v>
      </c>
      <c r="F2" s="22"/>
      <c r="G2" s="22"/>
      <c r="H2" s="22"/>
      <c r="I2" s="22"/>
      <c r="J2"/>
      <c r="K2" s="19" t="s">
        <v>20</v>
      </c>
      <c r="L2" s="23"/>
      <c r="M2"/>
    </row>
    <row r="3" spans="1:14" ht="18" thickBot="1" x14ac:dyDescent="0.3">
      <c r="A3" s="5" t="s">
        <v>2</v>
      </c>
      <c r="B3" s="166">
        <v>0.4</v>
      </c>
      <c r="C3" s="6" t="s">
        <v>3</v>
      </c>
      <c r="D3"/>
      <c r="E3" s="22" t="s">
        <v>9</v>
      </c>
      <c r="F3" s="22"/>
      <c r="G3" s="22"/>
      <c r="H3" s="22"/>
      <c r="I3" s="22"/>
      <c r="J3"/>
      <c r="K3" s="20" t="s">
        <v>21</v>
      </c>
      <c r="L3" s="24"/>
      <c r="M3"/>
    </row>
    <row r="4" spans="1:14" ht="16" thickTop="1" x14ac:dyDescent="0.2">
      <c r="A4" s="7"/>
      <c r="B4" s="8"/>
      <c r="C4" s="9"/>
      <c r="D4"/>
      <c r="E4"/>
      <c r="F4"/>
      <c r="G4"/>
      <c r="H4"/>
      <c r="I4"/>
      <c r="J4"/>
      <c r="K4"/>
      <c r="L4"/>
      <c r="M4"/>
      <c r="N4"/>
    </row>
    <row r="5" spans="1:14" ht="16" thickBot="1" x14ac:dyDescent="0.25">
      <c r="A5" s="10"/>
      <c r="B5"/>
      <c r="C5" s="11"/>
      <c r="D5"/>
      <c r="E5"/>
      <c r="F5"/>
      <c r="G5"/>
      <c r="H5"/>
      <c r="I5"/>
      <c r="J5"/>
      <c r="K5"/>
      <c r="L5"/>
      <c r="M5"/>
      <c r="N5"/>
    </row>
    <row r="6" spans="1:14" ht="17" thickTop="1" x14ac:dyDescent="0.2">
      <c r="A6" s="174" t="s">
        <v>14</v>
      </c>
      <c r="B6" s="175"/>
      <c r="C6" s="176"/>
      <c r="D6" s="170" t="s">
        <v>7</v>
      </c>
      <c r="E6" s="171"/>
      <c r="F6" s="172" t="s">
        <v>24</v>
      </c>
      <c r="G6" s="173"/>
      <c r="H6" s="35" t="s">
        <v>65</v>
      </c>
      <c r="I6" s="35"/>
      <c r="J6" s="36"/>
      <c r="K6" s="168" t="s">
        <v>11</v>
      </c>
      <c r="L6" s="169"/>
      <c r="M6" s="12" t="s">
        <v>10</v>
      </c>
      <c r="N6" s="80"/>
    </row>
    <row r="7" spans="1:14" s="2" customFormat="1" ht="51" x14ac:dyDescent="0.2">
      <c r="A7" s="31" t="s">
        <v>26</v>
      </c>
      <c r="B7" s="27" t="s">
        <v>15</v>
      </c>
      <c r="C7" s="32" t="s">
        <v>16</v>
      </c>
      <c r="D7" s="30" t="s">
        <v>6</v>
      </c>
      <c r="E7" s="15" t="s">
        <v>5</v>
      </c>
      <c r="F7" s="37" t="s">
        <v>27</v>
      </c>
      <c r="G7" s="14" t="s">
        <v>28</v>
      </c>
      <c r="H7" s="15" t="s">
        <v>29</v>
      </c>
      <c r="I7" s="15" t="s">
        <v>31</v>
      </c>
      <c r="J7" s="38" t="s">
        <v>30</v>
      </c>
      <c r="K7" s="30" t="s">
        <v>25</v>
      </c>
      <c r="L7" s="14" t="s">
        <v>8</v>
      </c>
      <c r="M7" s="15" t="s">
        <v>12</v>
      </c>
      <c r="N7" s="13" t="s">
        <v>13</v>
      </c>
    </row>
    <row r="8" spans="1:14" x14ac:dyDescent="0.2">
      <c r="A8" s="58">
        <v>0</v>
      </c>
      <c r="B8" s="59">
        <v>0</v>
      </c>
      <c r="C8" s="60">
        <v>25</v>
      </c>
      <c r="D8" s="28"/>
      <c r="E8" s="33"/>
      <c r="F8" s="39"/>
      <c r="G8" s="17"/>
      <c r="H8" s="68">
        <v>1</v>
      </c>
      <c r="I8" s="69">
        <v>75.3</v>
      </c>
      <c r="J8" s="70">
        <v>75.3</v>
      </c>
      <c r="K8" s="28"/>
      <c r="L8" s="17"/>
      <c r="M8" s="68">
        <v>1</v>
      </c>
      <c r="N8" s="77">
        <v>75</v>
      </c>
    </row>
    <row r="9" spans="1:14" x14ac:dyDescent="0.2">
      <c r="A9" s="61">
        <f>1/8</f>
        <v>0.125</v>
      </c>
      <c r="B9" s="62">
        <v>6.58</v>
      </c>
      <c r="C9" s="63">
        <v>18.420000000000002</v>
      </c>
      <c r="D9" s="54">
        <v>155.81800000000001</v>
      </c>
      <c r="E9" s="54">
        <v>494.3032</v>
      </c>
      <c r="F9" s="67">
        <f xml:space="preserve"> $J$16*A9*EXP(($B$19)/($G$19*$G$20)* (1-A9)^2)</f>
        <v>27.328383240044534</v>
      </c>
      <c r="G9" s="54">
        <f xml:space="preserve"> $J$8*(1-A9)*EXP(($B$19)/($G$19*$G$20)* (A9)^2)</f>
        <v>67.300426049230637</v>
      </c>
      <c r="H9" s="71">
        <f xml:space="preserve"> G9/(F9+G9)</f>
        <v>0.71120440545222186</v>
      </c>
      <c r="I9" s="72">
        <f>F9+G9</f>
        <v>94.628809289275168</v>
      </c>
      <c r="J9" s="73">
        <v>102.2</v>
      </c>
      <c r="K9" s="54">
        <v>178.9616</v>
      </c>
      <c r="L9" s="54">
        <v>450.51600000000002</v>
      </c>
      <c r="M9" s="71">
        <f>H38</f>
        <v>0.71569822341573386</v>
      </c>
      <c r="N9" s="77">
        <v>66</v>
      </c>
    </row>
    <row r="10" spans="1:14" x14ac:dyDescent="0.2">
      <c r="A10" s="61">
        <f>2/8</f>
        <v>0.25</v>
      </c>
      <c r="B10" s="62">
        <v>11.36</v>
      </c>
      <c r="C10" s="63">
        <v>13.64</v>
      </c>
      <c r="D10" s="54">
        <v>248.18360000000001</v>
      </c>
      <c r="E10" s="54">
        <v>376.46660000000003</v>
      </c>
      <c r="F10" s="67">
        <f t="shared" ref="F10:F15" si="0" xml:space="preserve"> $J$16*A10*EXP(($B$19)/($G$19*$G$20)* (1-A10)^2)</f>
        <v>41.481240801822501</v>
      </c>
      <c r="G10" s="54">
        <f t="shared" ref="G10:G15" si="1" xml:space="preserve"> $J$8*(1-A10)*EXP(($B$19)/($G$19*$G$20)* (A10)^2)</f>
        <v>61.477383704924868</v>
      </c>
      <c r="H10" s="71">
        <f t="shared" ref="H10:H15" si="2" xml:space="preserve"> G10/(F10+G10)</f>
        <v>0.59710766338856791</v>
      </c>
      <c r="I10" s="72">
        <f t="shared" ref="I10:I15" si="3">F10+G10</f>
        <v>102.95862450674737</v>
      </c>
      <c r="J10" s="73">
        <v>93.3</v>
      </c>
      <c r="K10" s="54">
        <v>297.10379999999998</v>
      </c>
      <c r="L10" s="54">
        <v>308.83359999999999</v>
      </c>
      <c r="M10" s="71">
        <f>H39</f>
        <v>0.50967905265461411</v>
      </c>
      <c r="N10" s="77">
        <v>63</v>
      </c>
    </row>
    <row r="11" spans="1:14" x14ac:dyDescent="0.2">
      <c r="A11" s="61">
        <f>3/8</f>
        <v>0.375</v>
      </c>
      <c r="B11" s="62">
        <v>15</v>
      </c>
      <c r="C11" s="63">
        <v>10</v>
      </c>
      <c r="D11" s="54">
        <v>454.98719999999997</v>
      </c>
      <c r="E11" s="54">
        <v>96.871399999999994</v>
      </c>
      <c r="F11" s="67">
        <f t="shared" si="0"/>
        <v>49.269751295682248</v>
      </c>
      <c r="G11" s="54">
        <f t="shared" si="1"/>
        <v>56.964993553494963</v>
      </c>
      <c r="H11" s="71">
        <f t="shared" si="2"/>
        <v>0.53621810486172738</v>
      </c>
      <c r="I11" s="72">
        <f t="shared" si="3"/>
        <v>106.23474484917722</v>
      </c>
      <c r="J11" s="73">
        <v>99.7</v>
      </c>
      <c r="K11" s="54">
        <v>158.7636</v>
      </c>
      <c r="L11" s="54">
        <v>468.79219999999998</v>
      </c>
      <c r="M11" s="71">
        <f>H40</f>
        <v>0.74701277559700663</v>
      </c>
      <c r="N11" s="77">
        <v>65</v>
      </c>
    </row>
    <row r="12" spans="1:14" x14ac:dyDescent="0.2">
      <c r="A12" s="61">
        <f>4/8</f>
        <v>0.5</v>
      </c>
      <c r="B12" s="62">
        <v>17.86</v>
      </c>
      <c r="C12" s="63">
        <v>7.14</v>
      </c>
      <c r="D12" s="54">
        <v>469.64819999999997</v>
      </c>
      <c r="E12" s="54">
        <v>85.036299999999997</v>
      </c>
      <c r="F12" s="67">
        <f t="shared" si="0"/>
        <v>54.273277340068752</v>
      </c>
      <c r="G12" s="54">
        <f t="shared" si="1"/>
        <v>52.86905282932959</v>
      </c>
      <c r="H12" s="71">
        <f t="shared" si="2"/>
        <v>0.49344692005242463</v>
      </c>
      <c r="I12" s="72">
        <f t="shared" si="3"/>
        <v>107.14233016939835</v>
      </c>
      <c r="J12" s="73">
        <v>104.8</v>
      </c>
      <c r="K12" s="54">
        <v>358.35890000000001</v>
      </c>
      <c r="L12" s="54">
        <v>272.55220000000003</v>
      </c>
      <c r="M12" s="71">
        <f>H41</f>
        <v>0.43199778859493837</v>
      </c>
      <c r="N12" s="77">
        <v>64</v>
      </c>
    </row>
    <row r="13" spans="1:14" x14ac:dyDescent="0.2">
      <c r="A13" s="61">
        <f>5/8</f>
        <v>0.625</v>
      </c>
      <c r="B13" s="62">
        <v>20.16</v>
      </c>
      <c r="C13" s="63">
        <v>4.84</v>
      </c>
      <c r="D13" s="54">
        <v>390.00080000000003</v>
      </c>
      <c r="E13" s="54">
        <v>173.27119999999999</v>
      </c>
      <c r="F13" s="67">
        <f t="shared" si="0"/>
        <v>58.478007990506782</v>
      </c>
      <c r="G13" s="54">
        <f t="shared" si="1"/>
        <v>47.99498412114972</v>
      </c>
      <c r="H13" s="71">
        <f t="shared" si="2"/>
        <v>0.45077144137001574</v>
      </c>
      <c r="I13" s="72">
        <f t="shared" si="3"/>
        <v>106.47299211165651</v>
      </c>
      <c r="J13" s="73">
        <v>97.5</v>
      </c>
      <c r="K13" s="54">
        <v>140.19560000000001</v>
      </c>
      <c r="L13" s="54">
        <v>498.93579999999997</v>
      </c>
      <c r="M13" s="71">
        <f>H42</f>
        <v>0.78064667140434651</v>
      </c>
      <c r="N13" s="77">
        <v>65</v>
      </c>
    </row>
    <row r="14" spans="1:14" x14ac:dyDescent="0.2">
      <c r="A14" s="61">
        <f>6/8</f>
        <v>0.75</v>
      </c>
      <c r="B14" s="62">
        <v>22.06</v>
      </c>
      <c r="C14" s="63">
        <v>2.94</v>
      </c>
      <c r="D14" s="54">
        <v>468.8177</v>
      </c>
      <c r="E14" s="54">
        <v>42.807400000000001</v>
      </c>
      <c r="F14" s="67">
        <f t="shared" si="0"/>
        <v>63.110249141974663</v>
      </c>
      <c r="G14" s="54">
        <f t="shared" si="1"/>
        <v>40.407987482241062</v>
      </c>
      <c r="H14" s="71">
        <f t="shared" si="2"/>
        <v>0.39034655921475137</v>
      </c>
      <c r="I14" s="72">
        <f t="shared" si="3"/>
        <v>103.51823662421572</v>
      </c>
      <c r="J14" s="73">
        <v>105.2</v>
      </c>
      <c r="K14" s="54">
        <v>130.2432</v>
      </c>
      <c r="L14" s="54">
        <v>487.51940000000002</v>
      </c>
      <c r="M14" s="71">
        <f>H43</f>
        <v>0.78916949650237811</v>
      </c>
      <c r="N14" s="77">
        <v>67</v>
      </c>
    </row>
    <row r="15" spans="1:14" x14ac:dyDescent="0.2">
      <c r="A15" s="61">
        <f>7/8</f>
        <v>0.875</v>
      </c>
      <c r="B15" s="62">
        <v>23.65</v>
      </c>
      <c r="C15" s="63">
        <v>1.35</v>
      </c>
      <c r="D15" s="54">
        <v>466.27460000000002</v>
      </c>
      <c r="E15" s="54">
        <v>19.8749</v>
      </c>
      <c r="F15" s="67">
        <f t="shared" si="0"/>
        <v>69.08795396554487</v>
      </c>
      <c r="G15" s="54">
        <f t="shared" si="1"/>
        <v>26.621309934998102</v>
      </c>
      <c r="H15" s="71">
        <f t="shared" si="2"/>
        <v>0.27814768236710968</v>
      </c>
      <c r="I15" s="72">
        <f t="shared" si="3"/>
        <v>95.709263900542965</v>
      </c>
      <c r="J15" s="73">
        <v>116</v>
      </c>
      <c r="K15" s="54">
        <v>354.67750000000001</v>
      </c>
      <c r="L15" s="54">
        <v>183.34229999999999</v>
      </c>
      <c r="M15" s="71">
        <f>H44</f>
        <v>0.34077240280004562</v>
      </c>
      <c r="N15" s="77">
        <v>88</v>
      </c>
    </row>
    <row r="16" spans="1:14" ht="16" thickBot="1" x14ac:dyDescent="0.25">
      <c r="A16" s="64">
        <v>1</v>
      </c>
      <c r="B16" s="65">
        <v>25</v>
      </c>
      <c r="C16" s="66">
        <v>0</v>
      </c>
      <c r="D16" s="29"/>
      <c r="E16" s="34"/>
      <c r="F16" s="40"/>
      <c r="G16" s="41"/>
      <c r="H16" s="74">
        <v>0</v>
      </c>
      <c r="I16" s="75">
        <v>77.3</v>
      </c>
      <c r="J16" s="76">
        <v>77.3</v>
      </c>
      <c r="K16" s="29"/>
      <c r="L16" s="18"/>
      <c r="M16" s="78">
        <v>0</v>
      </c>
      <c r="N16" s="79">
        <v>94</v>
      </c>
    </row>
    <row r="17" spans="1:14" ht="16" thickBot="1" x14ac:dyDescent="0.25">
      <c r="A17"/>
      <c r="B17"/>
      <c r="D17"/>
      <c r="E17"/>
      <c r="F17"/>
      <c r="G17"/>
      <c r="H17"/>
      <c r="I17"/>
      <c r="J17"/>
      <c r="K17"/>
      <c r="L17"/>
      <c r="M17"/>
      <c r="N17"/>
    </row>
    <row r="18" spans="1:14" ht="16" thickTop="1" x14ac:dyDescent="0.2">
      <c r="A18" s="3" t="s">
        <v>17</v>
      </c>
      <c r="B18" s="16"/>
      <c r="C18"/>
      <c r="F18"/>
      <c r="G18"/>
      <c r="H18"/>
      <c r="I18"/>
      <c r="K18"/>
      <c r="L18"/>
      <c r="M18"/>
    </row>
    <row r="19" spans="1:14" ht="18" thickBot="1" x14ac:dyDescent="0.25">
      <c r="A19" s="26" t="s">
        <v>18</v>
      </c>
      <c r="B19" s="81">
        <v>3309.64</v>
      </c>
      <c r="C19" s="55" t="s">
        <v>54</v>
      </c>
      <c r="F19" s="53" t="s">
        <v>34</v>
      </c>
      <c r="G19" s="53">
        <v>8.3140000000000001</v>
      </c>
      <c r="H19"/>
      <c r="I19"/>
      <c r="K19"/>
      <c r="L19"/>
      <c r="M19"/>
    </row>
    <row r="20" spans="1:14" ht="16" thickTop="1" x14ac:dyDescent="0.2">
      <c r="C20"/>
      <c r="F20" s="53" t="s">
        <v>35</v>
      </c>
      <c r="G20" s="53">
        <v>293.14999999999998</v>
      </c>
      <c r="H20"/>
      <c r="I20"/>
      <c r="K20"/>
      <c r="L20"/>
      <c r="M20"/>
    </row>
    <row r="21" spans="1:14" ht="16" thickBot="1" x14ac:dyDescent="0.25">
      <c r="C21"/>
      <c r="F21"/>
      <c r="G21"/>
      <c r="H21"/>
      <c r="I21"/>
      <c r="K21"/>
      <c r="L21"/>
      <c r="M21"/>
    </row>
    <row r="22" spans="1:14" ht="16" thickBot="1" x14ac:dyDescent="0.25">
      <c r="B22" s="47" t="s">
        <v>37</v>
      </c>
      <c r="C22" s="48" t="s">
        <v>36</v>
      </c>
      <c r="D22" s="49" t="s">
        <v>38</v>
      </c>
    </row>
    <row r="23" spans="1:14" x14ac:dyDescent="0.2">
      <c r="A23" s="42"/>
      <c r="B23" s="43">
        <f>$B$19/($G$19*$G$20)*A8^2</f>
        <v>0</v>
      </c>
      <c r="C23" s="50">
        <f>1-A8</f>
        <v>1</v>
      </c>
      <c r="D23" s="44">
        <f>$B$19/($G$19*$G$20)*C23^2</f>
        <v>1.3579408030143492</v>
      </c>
      <c r="I23" s="134" t="s">
        <v>71</v>
      </c>
    </row>
    <row r="24" spans="1:14" x14ac:dyDescent="0.2">
      <c r="B24" s="43">
        <f t="shared" ref="B24:B31" si="4">$B$19/($G$19*$G$20)*A9^2</f>
        <v>2.1217825047099206E-2</v>
      </c>
      <c r="C24" s="51">
        <f t="shared" ref="C24:C31" si="5">1-A9</f>
        <v>0.875</v>
      </c>
      <c r="D24" s="44">
        <f t="shared" ref="D24:D31" si="6">$B$19/($G$19*$G$20)*C24^2</f>
        <v>1.0396734273078612</v>
      </c>
      <c r="I24" s="135">
        <v>0</v>
      </c>
    </row>
    <row r="25" spans="1:14" x14ac:dyDescent="0.2">
      <c r="B25" s="43">
        <f t="shared" si="4"/>
        <v>8.4871300188396823E-2</v>
      </c>
      <c r="C25" s="51">
        <f t="shared" si="5"/>
        <v>0.75</v>
      </c>
      <c r="D25" s="44">
        <f t="shared" si="6"/>
        <v>0.76384170169557142</v>
      </c>
      <c r="I25" s="135">
        <f t="shared" ref="I25:I31" si="7">F9/(F9+G9)</f>
        <v>0.28879559454777814</v>
      </c>
    </row>
    <row r="26" spans="1:14" x14ac:dyDescent="0.2">
      <c r="B26" s="43">
        <f t="shared" si="4"/>
        <v>0.19096042542389285</v>
      </c>
      <c r="C26" s="51">
        <f t="shared" si="5"/>
        <v>0.625</v>
      </c>
      <c r="D26" s="44">
        <f t="shared" si="6"/>
        <v>0.53044562617748015</v>
      </c>
      <c r="I26" s="135">
        <f t="shared" si="7"/>
        <v>0.40289233661143209</v>
      </c>
    </row>
    <row r="27" spans="1:14" x14ac:dyDescent="0.2">
      <c r="B27" s="43">
        <f t="shared" si="4"/>
        <v>0.33948520075358729</v>
      </c>
      <c r="C27" s="51">
        <f t="shared" si="5"/>
        <v>0.5</v>
      </c>
      <c r="D27" s="44">
        <f t="shared" si="6"/>
        <v>0.33948520075358729</v>
      </c>
      <c r="I27" s="135">
        <f t="shared" si="7"/>
        <v>0.46378189513827256</v>
      </c>
    </row>
    <row r="28" spans="1:14" x14ac:dyDescent="0.2">
      <c r="B28" s="43">
        <f t="shared" si="4"/>
        <v>0.53044562617748015</v>
      </c>
      <c r="C28" s="51">
        <f t="shared" si="5"/>
        <v>0.375</v>
      </c>
      <c r="D28" s="44">
        <f t="shared" si="6"/>
        <v>0.19096042542389285</v>
      </c>
      <c r="I28" s="135">
        <f t="shared" si="7"/>
        <v>0.50655307994757526</v>
      </c>
    </row>
    <row r="29" spans="1:14" x14ac:dyDescent="0.2">
      <c r="B29" s="43">
        <f t="shared" si="4"/>
        <v>0.76384170169557142</v>
      </c>
      <c r="C29" s="51">
        <f t="shared" si="5"/>
        <v>0.25</v>
      </c>
      <c r="D29" s="44">
        <f t="shared" si="6"/>
        <v>8.4871300188396823E-2</v>
      </c>
      <c r="I29" s="135">
        <f t="shared" si="7"/>
        <v>0.54922855862998421</v>
      </c>
    </row>
    <row r="30" spans="1:14" x14ac:dyDescent="0.2">
      <c r="B30" s="43">
        <f t="shared" si="4"/>
        <v>1.0396734273078612</v>
      </c>
      <c r="C30" s="51">
        <f t="shared" si="5"/>
        <v>0.125</v>
      </c>
      <c r="D30" s="44">
        <f t="shared" si="6"/>
        <v>2.1217825047099206E-2</v>
      </c>
      <c r="I30" s="135">
        <f t="shared" si="7"/>
        <v>0.60965344078524875</v>
      </c>
    </row>
    <row r="31" spans="1:14" ht="16" thickBot="1" x14ac:dyDescent="0.25">
      <c r="B31" s="45">
        <f t="shared" si="4"/>
        <v>1.3579408030143492</v>
      </c>
      <c r="C31" s="52">
        <f t="shared" si="5"/>
        <v>0</v>
      </c>
      <c r="D31" s="46">
        <f t="shared" si="6"/>
        <v>0</v>
      </c>
      <c r="I31" s="135">
        <f t="shared" si="7"/>
        <v>0.72185231763289037</v>
      </c>
    </row>
    <row r="32" spans="1:14" x14ac:dyDescent="0.2">
      <c r="I32" s="135">
        <v>1</v>
      </c>
    </row>
    <row r="35" spans="2:17" x14ac:dyDescent="0.2">
      <c r="B35" s="167" t="s">
        <v>42</v>
      </c>
      <c r="C35" s="167"/>
    </row>
    <row r="36" spans="2:17" ht="16" thickBot="1" x14ac:dyDescent="0.25">
      <c r="N36" s="167" t="s">
        <v>70</v>
      </c>
      <c r="O36" s="167"/>
    </row>
    <row r="37" spans="2:17" ht="16" thickBot="1" x14ac:dyDescent="0.25">
      <c r="B37" s="114" t="s">
        <v>40</v>
      </c>
      <c r="C37" s="115" t="s">
        <v>36</v>
      </c>
      <c r="D37" s="125" t="s">
        <v>49</v>
      </c>
      <c r="E37" s="116" t="s">
        <v>50</v>
      </c>
      <c r="F37" s="114" t="s">
        <v>51</v>
      </c>
      <c r="G37" s="125" t="s">
        <v>52</v>
      </c>
      <c r="H37" s="116" t="s">
        <v>53</v>
      </c>
    </row>
    <row r="38" spans="2:17" x14ac:dyDescent="0.2">
      <c r="B38" s="117">
        <f>B66</f>
        <v>0.125</v>
      </c>
      <c r="C38" s="120">
        <f>C66</f>
        <v>0.875</v>
      </c>
      <c r="D38" s="122">
        <v>178.9616</v>
      </c>
      <c r="E38" s="130">
        <v>450.51600000000002</v>
      </c>
      <c r="F38" s="132">
        <f>N9+273.15</f>
        <v>339.15</v>
      </c>
      <c r="G38" s="119">
        <f>D38/(D38+E38)</f>
        <v>0.28430177658426603</v>
      </c>
      <c r="H38" s="44">
        <f>E38/(E38+D38)</f>
        <v>0.71569822341573386</v>
      </c>
      <c r="N38" s="85" t="s">
        <v>40</v>
      </c>
      <c r="O38" s="86" t="s">
        <v>36</v>
      </c>
      <c r="P38" s="115" t="s">
        <v>43</v>
      </c>
      <c r="Q38" s="116" t="s">
        <v>44</v>
      </c>
    </row>
    <row r="39" spans="2:17" x14ac:dyDescent="0.2">
      <c r="B39" s="117">
        <f t="shared" ref="B39:C44" si="8">B67</f>
        <v>0.25</v>
      </c>
      <c r="C39" s="120">
        <f t="shared" si="8"/>
        <v>0.75</v>
      </c>
      <c r="D39" s="123">
        <v>297.10379999999998</v>
      </c>
      <c r="E39" s="130">
        <v>308.83359999999999</v>
      </c>
      <c r="F39" s="132">
        <f>N10+273.15</f>
        <v>336.15</v>
      </c>
      <c r="G39" s="120">
        <f>D39/(D39+E39)</f>
        <v>0.49032094734538578</v>
      </c>
      <c r="H39" s="44">
        <f>E39/(E39+D39)</f>
        <v>0.50967905265461411</v>
      </c>
      <c r="N39" s="139">
        <f>B66</f>
        <v>0.125</v>
      </c>
      <c r="O39" s="140">
        <f>C66</f>
        <v>0.875</v>
      </c>
      <c r="P39" s="143">
        <v>155.81800000000001</v>
      </c>
      <c r="Q39" s="126">
        <v>494.3032</v>
      </c>
    </row>
    <row r="40" spans="2:17" x14ac:dyDescent="0.2">
      <c r="B40" s="117">
        <f t="shared" si="8"/>
        <v>0.375</v>
      </c>
      <c r="C40" s="120">
        <f t="shared" si="8"/>
        <v>0.625</v>
      </c>
      <c r="D40" s="123">
        <v>158.7636</v>
      </c>
      <c r="E40" s="130">
        <v>468.79219999999998</v>
      </c>
      <c r="F40" s="132">
        <f>N11+273.15</f>
        <v>338.15</v>
      </c>
      <c r="G40" s="120">
        <f>D40/(D40+E40)</f>
        <v>0.25298722440299332</v>
      </c>
      <c r="H40" s="44">
        <f>E40/(E40+D40)</f>
        <v>0.74701277559700663</v>
      </c>
      <c r="N40" s="146">
        <f t="shared" ref="N40:N45" si="9">B67</f>
        <v>0.25</v>
      </c>
      <c r="O40" s="141">
        <f t="shared" ref="O40:O45" si="10">C67</f>
        <v>0.75</v>
      </c>
      <c r="P40" s="144">
        <v>248.18360000000001</v>
      </c>
      <c r="Q40" s="127">
        <v>376.46660000000003</v>
      </c>
    </row>
    <row r="41" spans="2:17" x14ac:dyDescent="0.2">
      <c r="B41" s="117">
        <f t="shared" si="8"/>
        <v>0.5</v>
      </c>
      <c r="C41" s="120">
        <f t="shared" si="8"/>
        <v>0.5</v>
      </c>
      <c r="D41" s="123">
        <v>358.35890000000001</v>
      </c>
      <c r="E41" s="130">
        <v>272.55220000000003</v>
      </c>
      <c r="F41" s="132">
        <f>N12+273.15</f>
        <v>337.15</v>
      </c>
      <c r="G41" s="120">
        <f>D41/(D41+E41)</f>
        <v>0.56800221140506169</v>
      </c>
      <c r="H41" s="44">
        <f>E41/(E41+D41)</f>
        <v>0.43199778859493837</v>
      </c>
      <c r="N41" s="146">
        <f t="shared" si="9"/>
        <v>0.375</v>
      </c>
      <c r="O41" s="141">
        <f t="shared" si="10"/>
        <v>0.625</v>
      </c>
      <c r="P41" s="144">
        <v>454.98719999999997</v>
      </c>
      <c r="Q41" s="127">
        <v>96.871399999999994</v>
      </c>
    </row>
    <row r="42" spans="2:17" x14ac:dyDescent="0.2">
      <c r="B42" s="117">
        <f t="shared" si="8"/>
        <v>0.625</v>
      </c>
      <c r="C42" s="120">
        <f t="shared" si="8"/>
        <v>0.375</v>
      </c>
      <c r="D42" s="123">
        <v>140.19560000000001</v>
      </c>
      <c r="E42" s="130">
        <v>498.93579999999997</v>
      </c>
      <c r="F42" s="132">
        <f>N13+273.15</f>
        <v>338.15</v>
      </c>
      <c r="G42" s="120">
        <f>D42/(D42+E42)</f>
        <v>0.21935332859565343</v>
      </c>
      <c r="H42" s="44">
        <f>E42/(E42+D42)</f>
        <v>0.78064667140434651</v>
      </c>
      <c r="N42" s="146">
        <f t="shared" si="9"/>
        <v>0.5</v>
      </c>
      <c r="O42" s="141">
        <f t="shared" si="10"/>
        <v>0.5</v>
      </c>
      <c r="P42" s="144">
        <v>469.64819999999997</v>
      </c>
      <c r="Q42" s="127">
        <v>85.036299999999997</v>
      </c>
    </row>
    <row r="43" spans="2:17" x14ac:dyDescent="0.2">
      <c r="B43" s="117">
        <f t="shared" si="8"/>
        <v>0.75</v>
      </c>
      <c r="C43" s="120">
        <f t="shared" si="8"/>
        <v>0.25</v>
      </c>
      <c r="D43" s="123">
        <v>130.2432</v>
      </c>
      <c r="E43" s="130">
        <v>487.51940000000002</v>
      </c>
      <c r="F43" s="132">
        <f>N14+273.15</f>
        <v>340.15</v>
      </c>
      <c r="G43" s="120">
        <f>D43/(D43+E43)</f>
        <v>0.21083050349762189</v>
      </c>
      <c r="H43" s="44">
        <f>E43/(E43+D43)</f>
        <v>0.78916949650237811</v>
      </c>
      <c r="N43" s="146">
        <f t="shared" si="9"/>
        <v>0.625</v>
      </c>
      <c r="O43" s="141">
        <f t="shared" si="10"/>
        <v>0.375</v>
      </c>
      <c r="P43" s="144">
        <v>390.00080000000003</v>
      </c>
      <c r="Q43" s="127">
        <v>173.27119999999999</v>
      </c>
    </row>
    <row r="44" spans="2:17" ht="16" thickBot="1" x14ac:dyDescent="0.25">
      <c r="B44" s="118">
        <f t="shared" si="8"/>
        <v>0.875</v>
      </c>
      <c r="C44" s="121">
        <f t="shared" si="8"/>
        <v>0.125</v>
      </c>
      <c r="D44" s="124">
        <v>354.67750000000001</v>
      </c>
      <c r="E44" s="131">
        <v>183.34229999999999</v>
      </c>
      <c r="F44" s="133">
        <f>N15+273.15</f>
        <v>361.15</v>
      </c>
      <c r="G44" s="121">
        <f>D44/(D44+E44)</f>
        <v>0.65922759719995427</v>
      </c>
      <c r="H44" s="46">
        <f>E44/(E44+D44)</f>
        <v>0.34077240280004562</v>
      </c>
      <c r="N44" s="146">
        <f t="shared" si="9"/>
        <v>0.75</v>
      </c>
      <c r="O44" s="141">
        <f t="shared" si="10"/>
        <v>0.25</v>
      </c>
      <c r="P44" s="144">
        <v>468.8177</v>
      </c>
      <c r="Q44" s="127">
        <v>42.807400000000001</v>
      </c>
    </row>
    <row r="45" spans="2:17" ht="16" thickBot="1" x14ac:dyDescent="0.25">
      <c r="G45" s="167" t="s">
        <v>72</v>
      </c>
      <c r="H45" s="167"/>
      <c r="N45" s="147">
        <f t="shared" si="9"/>
        <v>0.875</v>
      </c>
      <c r="O45" s="142">
        <f t="shared" si="10"/>
        <v>0.125</v>
      </c>
      <c r="P45" s="145">
        <v>466.27460000000002</v>
      </c>
      <c r="Q45" s="128">
        <v>19.8749</v>
      </c>
    </row>
    <row r="46" spans="2:17" ht="16" thickBot="1" x14ac:dyDescent="0.25"/>
    <row r="47" spans="2:17" ht="18" x14ac:dyDescent="0.2">
      <c r="G47" s="85" t="s">
        <v>39</v>
      </c>
      <c r="H47" s="129" t="s">
        <v>41</v>
      </c>
      <c r="I47" s="159" t="s">
        <v>15</v>
      </c>
      <c r="J47" s="158" t="s">
        <v>16</v>
      </c>
      <c r="N47" s="115" t="s">
        <v>45</v>
      </c>
      <c r="O47" s="125" t="s">
        <v>46</v>
      </c>
      <c r="P47" s="115" t="s">
        <v>47</v>
      </c>
      <c r="Q47" s="116" t="s">
        <v>48</v>
      </c>
    </row>
    <row r="48" spans="2:17" x14ac:dyDescent="0.2">
      <c r="G48" s="155">
        <v>0</v>
      </c>
      <c r="H48" s="163">
        <v>1</v>
      </c>
      <c r="I48" s="160">
        <v>0</v>
      </c>
      <c r="J48" s="60">
        <v>25</v>
      </c>
      <c r="N48" s="51">
        <f t="shared" ref="N48:N54" si="11">N39/O39</f>
        <v>0.14285714285714285</v>
      </c>
      <c r="O48" s="119">
        <f t="shared" ref="O48:O54" si="12">P39/Q39</f>
        <v>0.31522757692040032</v>
      </c>
      <c r="P48" s="140">
        <f t="shared" ref="P48:P54" si="13">O39/N39</f>
        <v>7</v>
      </c>
      <c r="Q48" s="44">
        <f t="shared" ref="Q48:Q54" si="14">Q39/P39</f>
        <v>3.1723112862442076</v>
      </c>
    </row>
    <row r="49" spans="2:18" x14ac:dyDescent="0.2">
      <c r="G49" s="156">
        <v>0.125</v>
      </c>
      <c r="H49" s="164">
        <v>0.875</v>
      </c>
      <c r="I49" s="161">
        <v>6.58</v>
      </c>
      <c r="J49" s="63">
        <v>18.420000000000002</v>
      </c>
      <c r="N49" s="51">
        <f t="shared" si="11"/>
        <v>0.33333333333333331</v>
      </c>
      <c r="O49" s="120">
        <f t="shared" si="12"/>
        <v>0.65924467137323739</v>
      </c>
      <c r="P49" s="141">
        <f t="shared" si="13"/>
        <v>3</v>
      </c>
      <c r="Q49" s="44">
        <f t="shared" si="14"/>
        <v>1.5168874978040452</v>
      </c>
    </row>
    <row r="50" spans="2:18" x14ac:dyDescent="0.2">
      <c r="G50" s="156">
        <v>0.25</v>
      </c>
      <c r="H50" s="164">
        <v>0.75</v>
      </c>
      <c r="I50" s="161">
        <v>11.36</v>
      </c>
      <c r="J50" s="63">
        <v>13.64</v>
      </c>
      <c r="N50" s="51">
        <f t="shared" si="11"/>
        <v>0.6</v>
      </c>
      <c r="O50" s="120">
        <f t="shared" si="12"/>
        <v>4.6968166042815529</v>
      </c>
      <c r="P50" s="141">
        <f t="shared" si="13"/>
        <v>1.6666666666666667</v>
      </c>
      <c r="Q50" s="44">
        <f t="shared" si="14"/>
        <v>0.21291016538487237</v>
      </c>
    </row>
    <row r="51" spans="2:18" x14ac:dyDescent="0.2">
      <c r="G51" s="156">
        <v>0.375</v>
      </c>
      <c r="H51" s="164">
        <v>0.625</v>
      </c>
      <c r="I51" s="161">
        <v>15</v>
      </c>
      <c r="J51" s="63">
        <v>10</v>
      </c>
      <c r="N51" s="51">
        <f t="shared" si="11"/>
        <v>1</v>
      </c>
      <c r="O51" s="120">
        <f t="shared" si="12"/>
        <v>5.522914331879444</v>
      </c>
      <c r="P51" s="141">
        <f t="shared" si="13"/>
        <v>1</v>
      </c>
      <c r="Q51" s="44">
        <f t="shared" si="14"/>
        <v>0.18106382607236651</v>
      </c>
    </row>
    <row r="52" spans="2:18" x14ac:dyDescent="0.2">
      <c r="G52" s="156">
        <v>0.5</v>
      </c>
      <c r="H52" s="164">
        <v>0.5</v>
      </c>
      <c r="I52" s="161">
        <v>17.86</v>
      </c>
      <c r="J52" s="63">
        <v>7.14</v>
      </c>
      <c r="N52" s="51">
        <f t="shared" si="11"/>
        <v>1.6666666666666667</v>
      </c>
      <c r="O52" s="120">
        <f t="shared" si="12"/>
        <v>2.250811444717876</v>
      </c>
      <c r="P52" s="141">
        <f t="shared" si="13"/>
        <v>0.6</v>
      </c>
      <c r="Q52" s="44">
        <f t="shared" si="14"/>
        <v>0.44428421685288844</v>
      </c>
    </row>
    <row r="53" spans="2:18" x14ac:dyDescent="0.2">
      <c r="G53" s="156">
        <v>0.625</v>
      </c>
      <c r="H53" s="164">
        <v>0.375</v>
      </c>
      <c r="I53" s="161">
        <v>20.16</v>
      </c>
      <c r="J53" s="63">
        <v>4.84</v>
      </c>
      <c r="N53" s="51">
        <f t="shared" si="11"/>
        <v>3</v>
      </c>
      <c r="O53" s="120">
        <f t="shared" si="12"/>
        <v>10.951791045473446</v>
      </c>
      <c r="P53" s="141">
        <f t="shared" si="13"/>
        <v>0.33333333333333331</v>
      </c>
      <c r="Q53" s="44">
        <f t="shared" si="14"/>
        <v>9.1309265840432224E-2</v>
      </c>
    </row>
    <row r="54" spans="2:18" ht="16" thickBot="1" x14ac:dyDescent="0.25">
      <c r="G54" s="156">
        <v>0.75</v>
      </c>
      <c r="H54" s="164">
        <v>0.25</v>
      </c>
      <c r="I54" s="161">
        <v>22.06</v>
      </c>
      <c r="J54" s="63">
        <v>2.94</v>
      </c>
      <c r="N54" s="52">
        <f t="shared" si="11"/>
        <v>7</v>
      </c>
      <c r="O54" s="121">
        <f t="shared" si="12"/>
        <v>23.460475272831562</v>
      </c>
      <c r="P54" s="142">
        <f t="shared" si="13"/>
        <v>0.14285714285714285</v>
      </c>
      <c r="Q54" s="46">
        <f t="shared" si="14"/>
        <v>4.2624882419072363E-2</v>
      </c>
    </row>
    <row r="55" spans="2:18" x14ac:dyDescent="0.2">
      <c r="G55" s="156">
        <v>0.875</v>
      </c>
      <c r="H55" s="164">
        <v>0.125</v>
      </c>
      <c r="I55" s="161">
        <v>23.65</v>
      </c>
      <c r="J55" s="63">
        <v>1.35</v>
      </c>
    </row>
    <row r="56" spans="2:18" ht="16" thickBot="1" x14ac:dyDescent="0.25">
      <c r="G56" s="157">
        <v>1</v>
      </c>
      <c r="H56" s="165">
        <v>0</v>
      </c>
      <c r="I56" s="162">
        <v>25</v>
      </c>
      <c r="J56" s="66">
        <v>0</v>
      </c>
    </row>
    <row r="62" spans="2:18" x14ac:dyDescent="0.2">
      <c r="B62" s="167" t="s">
        <v>62</v>
      </c>
      <c r="C62" s="167"/>
      <c r="N62" s="167" t="s">
        <v>63</v>
      </c>
      <c r="O62" s="167"/>
    </row>
    <row r="63" spans="2:18" ht="16" thickBot="1" x14ac:dyDescent="0.25">
      <c r="O63"/>
    </row>
    <row r="64" spans="2:18" ht="16" thickBot="1" x14ac:dyDescent="0.25">
      <c r="B64" s="85" t="s">
        <v>40</v>
      </c>
      <c r="C64" s="86" t="s">
        <v>36</v>
      </c>
      <c r="D64" s="87" t="s">
        <v>55</v>
      </c>
      <c r="N64" s="47" t="s">
        <v>66</v>
      </c>
      <c r="O64" s="48" t="s">
        <v>67</v>
      </c>
      <c r="P64" s="48" t="s">
        <v>68</v>
      </c>
      <c r="Q64" s="48" t="s">
        <v>69</v>
      </c>
      <c r="R64" s="49" t="s">
        <v>64</v>
      </c>
    </row>
    <row r="65" spans="2:18" x14ac:dyDescent="0.2">
      <c r="B65" s="95">
        <v>0</v>
      </c>
      <c r="C65" s="88">
        <v>1</v>
      </c>
      <c r="D65" s="148">
        <v>75.3</v>
      </c>
      <c r="N65" s="100">
        <v>1</v>
      </c>
      <c r="O65" s="89">
        <v>75.3</v>
      </c>
      <c r="P65" s="108">
        <f t="shared" ref="P65:P73" si="15" xml:space="preserve"> B76</f>
        <v>75.3</v>
      </c>
      <c r="Q65" s="111">
        <f t="shared" ref="Q65:Q73" si="16">D76</f>
        <v>75.3</v>
      </c>
      <c r="R65" s="101">
        <f>Q65/P65</f>
        <v>1</v>
      </c>
    </row>
    <row r="66" spans="2:18" x14ac:dyDescent="0.2">
      <c r="B66" s="97">
        <f>1/8</f>
        <v>0.125</v>
      </c>
      <c r="C66" s="90">
        <v>0.875</v>
      </c>
      <c r="D66" s="149">
        <v>102.2</v>
      </c>
      <c r="N66" s="102">
        <v>0.875</v>
      </c>
      <c r="O66" s="91">
        <v>102.2</v>
      </c>
      <c r="P66" s="109">
        <f t="shared" si="15"/>
        <v>94.628809289275168</v>
      </c>
      <c r="Q66" s="112">
        <f t="shared" si="16"/>
        <v>67.300426049230637</v>
      </c>
      <c r="R66" s="103">
        <f t="shared" ref="R66:R73" si="17">Q66/P66</f>
        <v>0.71120440545222186</v>
      </c>
    </row>
    <row r="67" spans="2:18" x14ac:dyDescent="0.2">
      <c r="B67" s="97">
        <f>2/8</f>
        <v>0.25</v>
      </c>
      <c r="C67" s="90">
        <v>0.75</v>
      </c>
      <c r="D67" s="149">
        <v>93.3</v>
      </c>
      <c r="N67" s="102">
        <v>0.75</v>
      </c>
      <c r="O67" s="91">
        <v>93.3</v>
      </c>
      <c r="P67" s="109">
        <f t="shared" si="15"/>
        <v>102.95862450674737</v>
      </c>
      <c r="Q67" s="112">
        <f t="shared" si="16"/>
        <v>61.477383704924868</v>
      </c>
      <c r="R67" s="103">
        <f t="shared" si="17"/>
        <v>0.59710766338856791</v>
      </c>
    </row>
    <row r="68" spans="2:18" x14ac:dyDescent="0.2">
      <c r="B68" s="97">
        <f>3/8</f>
        <v>0.375</v>
      </c>
      <c r="C68" s="92">
        <v>0.625</v>
      </c>
      <c r="D68" s="149">
        <v>99.7</v>
      </c>
      <c r="N68" s="97">
        <v>0.625</v>
      </c>
      <c r="O68" s="91">
        <v>99.7</v>
      </c>
      <c r="P68" s="109">
        <f t="shared" si="15"/>
        <v>106.23474484917722</v>
      </c>
      <c r="Q68" s="112">
        <f t="shared" si="16"/>
        <v>56.964993553494963</v>
      </c>
      <c r="R68" s="103">
        <f t="shared" si="17"/>
        <v>0.53621810486172738</v>
      </c>
    </row>
    <row r="69" spans="2:18" x14ac:dyDescent="0.2">
      <c r="B69" s="97">
        <f>4/8</f>
        <v>0.5</v>
      </c>
      <c r="C69" s="92">
        <v>0.5</v>
      </c>
      <c r="D69" s="149">
        <v>104.8</v>
      </c>
      <c r="N69" s="97">
        <v>0.5</v>
      </c>
      <c r="O69" s="91">
        <v>104.8</v>
      </c>
      <c r="P69" s="109">
        <f t="shared" si="15"/>
        <v>107.14233016939835</v>
      </c>
      <c r="Q69" s="112">
        <f t="shared" si="16"/>
        <v>52.86905282932959</v>
      </c>
      <c r="R69" s="103">
        <f t="shared" si="17"/>
        <v>0.49344692005242463</v>
      </c>
    </row>
    <row r="70" spans="2:18" x14ac:dyDescent="0.2">
      <c r="B70" s="97">
        <f>5/8</f>
        <v>0.625</v>
      </c>
      <c r="C70" s="92">
        <v>0.375</v>
      </c>
      <c r="D70" s="149">
        <v>97.5</v>
      </c>
      <c r="N70" s="97">
        <v>0.375</v>
      </c>
      <c r="O70" s="91">
        <v>97.5</v>
      </c>
      <c r="P70" s="109">
        <f t="shared" si="15"/>
        <v>106.47299211165651</v>
      </c>
      <c r="Q70" s="112">
        <f t="shared" si="16"/>
        <v>47.99498412114972</v>
      </c>
      <c r="R70" s="103">
        <f t="shared" si="17"/>
        <v>0.45077144137001574</v>
      </c>
    </row>
    <row r="71" spans="2:18" x14ac:dyDescent="0.2">
      <c r="B71" s="97">
        <f>6/8</f>
        <v>0.75</v>
      </c>
      <c r="C71" s="92">
        <v>0.25</v>
      </c>
      <c r="D71" s="149">
        <v>105.2</v>
      </c>
      <c r="N71" s="97">
        <v>0.25</v>
      </c>
      <c r="O71" s="91">
        <v>105.2</v>
      </c>
      <c r="P71" s="109">
        <f t="shared" si="15"/>
        <v>103.51823662421572</v>
      </c>
      <c r="Q71" s="112">
        <f t="shared" si="16"/>
        <v>40.407987482241062</v>
      </c>
      <c r="R71" s="103">
        <f t="shared" si="17"/>
        <v>0.39034655921475137</v>
      </c>
    </row>
    <row r="72" spans="2:18" x14ac:dyDescent="0.2">
      <c r="B72" s="97">
        <f>7/8</f>
        <v>0.875</v>
      </c>
      <c r="C72" s="92">
        <v>0.125</v>
      </c>
      <c r="D72" s="149">
        <v>116</v>
      </c>
      <c r="N72" s="97">
        <v>0.125</v>
      </c>
      <c r="O72" s="91">
        <v>116</v>
      </c>
      <c r="P72" s="109">
        <f t="shared" si="15"/>
        <v>95.709263900542965</v>
      </c>
      <c r="Q72" s="112">
        <f t="shared" si="16"/>
        <v>26.621309934998102</v>
      </c>
      <c r="R72" s="103">
        <f t="shared" si="17"/>
        <v>0.27814768236710968</v>
      </c>
    </row>
    <row r="73" spans="2:18" ht="16" thickBot="1" x14ac:dyDescent="0.25">
      <c r="B73" s="83">
        <v>1</v>
      </c>
      <c r="C73" s="93">
        <v>0</v>
      </c>
      <c r="D73" s="150">
        <v>77.3</v>
      </c>
      <c r="N73" s="83">
        <v>0</v>
      </c>
      <c r="O73" s="94">
        <v>77.3</v>
      </c>
      <c r="P73" s="110">
        <f t="shared" si="15"/>
        <v>77.3</v>
      </c>
      <c r="Q73" s="113">
        <f t="shared" si="16"/>
        <v>0</v>
      </c>
      <c r="R73" s="104">
        <f t="shared" si="17"/>
        <v>0</v>
      </c>
    </row>
    <row r="74" spans="2:18" ht="16" thickBot="1" x14ac:dyDescent="0.25">
      <c r="C74" s="82"/>
    </row>
    <row r="75" spans="2:18" ht="16" thickBot="1" x14ac:dyDescent="0.25">
      <c r="B75" s="151" t="s">
        <v>56</v>
      </c>
      <c r="C75" s="84" t="s">
        <v>57</v>
      </c>
      <c r="D75" s="87" t="s">
        <v>58</v>
      </c>
    </row>
    <row r="76" spans="2:18" x14ac:dyDescent="0.2">
      <c r="B76" s="152">
        <f xml:space="preserve"> C76+D76</f>
        <v>75.3</v>
      </c>
      <c r="C76" s="96">
        <f t="shared" ref="C76:C84" si="18" xml:space="preserve"> $J$16*A8*EXP(($B$19)/($G$19*$G$20)* (1-A8)^2)</f>
        <v>0</v>
      </c>
      <c r="D76" s="136">
        <f t="shared" ref="D76:D84" si="19" xml:space="preserve"> $J$8*(1-A8)*EXP(($B$19)/($G$19*$G$20)* (A8)^2)</f>
        <v>75.3</v>
      </c>
    </row>
    <row r="77" spans="2:18" x14ac:dyDescent="0.2">
      <c r="B77" s="153">
        <f xml:space="preserve"> C77+D77</f>
        <v>94.628809289275168</v>
      </c>
      <c r="C77" s="98">
        <f t="shared" si="18"/>
        <v>27.328383240044534</v>
      </c>
      <c r="D77" s="137">
        <f t="shared" si="19"/>
        <v>67.300426049230637</v>
      </c>
    </row>
    <row r="78" spans="2:18" x14ac:dyDescent="0.2">
      <c r="B78" s="153">
        <f t="shared" ref="B78:B84" si="20" xml:space="preserve"> C78+D78</f>
        <v>102.95862450674737</v>
      </c>
      <c r="C78" s="98">
        <f t="shared" si="18"/>
        <v>41.481240801822501</v>
      </c>
      <c r="D78" s="137">
        <f t="shared" si="19"/>
        <v>61.477383704924868</v>
      </c>
    </row>
    <row r="79" spans="2:18" x14ac:dyDescent="0.2">
      <c r="B79" s="153">
        <f t="shared" si="20"/>
        <v>106.23474484917722</v>
      </c>
      <c r="C79" s="98">
        <f t="shared" si="18"/>
        <v>49.269751295682248</v>
      </c>
      <c r="D79" s="137">
        <f t="shared" si="19"/>
        <v>56.964993553494963</v>
      </c>
    </row>
    <row r="80" spans="2:18" x14ac:dyDescent="0.2">
      <c r="B80" s="153">
        <f t="shared" si="20"/>
        <v>107.14233016939835</v>
      </c>
      <c r="C80" s="98">
        <f t="shared" si="18"/>
        <v>54.273277340068752</v>
      </c>
      <c r="D80" s="137">
        <f t="shared" si="19"/>
        <v>52.86905282932959</v>
      </c>
    </row>
    <row r="81" spans="2:4" x14ac:dyDescent="0.2">
      <c r="B81" s="153">
        <f t="shared" si="20"/>
        <v>106.47299211165651</v>
      </c>
      <c r="C81" s="98">
        <f t="shared" si="18"/>
        <v>58.478007990506782</v>
      </c>
      <c r="D81" s="137">
        <f t="shared" si="19"/>
        <v>47.99498412114972</v>
      </c>
    </row>
    <row r="82" spans="2:4" x14ac:dyDescent="0.2">
      <c r="B82" s="153">
        <f t="shared" si="20"/>
        <v>103.51823662421572</v>
      </c>
      <c r="C82" s="98">
        <f t="shared" si="18"/>
        <v>63.110249141974663</v>
      </c>
      <c r="D82" s="137">
        <f t="shared" si="19"/>
        <v>40.407987482241062</v>
      </c>
    </row>
    <row r="83" spans="2:4" x14ac:dyDescent="0.2">
      <c r="B83" s="153">
        <f t="shared" si="20"/>
        <v>95.709263900542965</v>
      </c>
      <c r="C83" s="98">
        <f t="shared" si="18"/>
        <v>69.08795396554487</v>
      </c>
      <c r="D83" s="137">
        <f t="shared" si="19"/>
        <v>26.621309934998102</v>
      </c>
    </row>
    <row r="84" spans="2:4" ht="16" thickBot="1" x14ac:dyDescent="0.25">
      <c r="B84" s="154">
        <f t="shared" si="20"/>
        <v>77.3</v>
      </c>
      <c r="C84" s="99">
        <f t="shared" si="18"/>
        <v>77.3</v>
      </c>
      <c r="D84" s="138">
        <f t="shared" si="19"/>
        <v>0</v>
      </c>
    </row>
    <row r="85" spans="2:4" ht="16" thickBot="1" x14ac:dyDescent="0.25"/>
    <row r="86" spans="2:4" ht="16" thickBot="1" x14ac:dyDescent="0.25">
      <c r="B86" s="84" t="s">
        <v>59</v>
      </c>
      <c r="C86" s="84" t="s">
        <v>60</v>
      </c>
      <c r="D86" s="87" t="s">
        <v>61</v>
      </c>
    </row>
    <row r="87" spans="2:4" x14ac:dyDescent="0.2">
      <c r="B87" s="105">
        <f>C87+D87</f>
        <v>75.3</v>
      </c>
      <c r="C87" s="96">
        <f t="shared" ref="C87:C95" si="21">J8*I24*B65</f>
        <v>0</v>
      </c>
      <c r="D87" s="136">
        <f t="shared" ref="D87:D95" si="22">J8*H8*C65</f>
        <v>75.3</v>
      </c>
    </row>
    <row r="88" spans="2:4" x14ac:dyDescent="0.2">
      <c r="B88" s="106">
        <f t="shared" ref="B88:B95" si="23">C88+D88</f>
        <v>67.288817677912817</v>
      </c>
      <c r="C88" s="98">
        <f t="shared" si="21"/>
        <v>3.689363720347866</v>
      </c>
      <c r="D88" s="137">
        <f t="shared" si="22"/>
        <v>63.599453957564947</v>
      </c>
    </row>
    <row r="89" spans="2:4" x14ac:dyDescent="0.2">
      <c r="B89" s="106">
        <f t="shared" si="23"/>
        <v>51.180072497076694</v>
      </c>
      <c r="C89" s="98">
        <f t="shared" si="21"/>
        <v>9.3974637514616539</v>
      </c>
      <c r="D89" s="137">
        <f t="shared" si="22"/>
        <v>41.782608745615036</v>
      </c>
    </row>
    <row r="90" spans="2:4" x14ac:dyDescent="0.2">
      <c r="B90" s="106">
        <f t="shared" si="23"/>
        <v>50.752736263678557</v>
      </c>
      <c r="C90" s="98">
        <f t="shared" si="21"/>
        <v>17.339645604482165</v>
      </c>
      <c r="D90" s="137">
        <f t="shared" si="22"/>
        <v>33.413090659196392</v>
      </c>
    </row>
    <row r="91" spans="2:4" x14ac:dyDescent="0.2">
      <c r="B91" s="106">
        <f t="shared" si="23"/>
        <v>52.399999999999991</v>
      </c>
      <c r="C91" s="98">
        <f t="shared" si="21"/>
        <v>26.543381389252943</v>
      </c>
      <c r="D91" s="137">
        <f t="shared" si="22"/>
        <v>25.856618610747049</v>
      </c>
    </row>
    <row r="92" spans="2:4" x14ac:dyDescent="0.2">
      <c r="B92" s="106">
        <f t="shared" si="23"/>
        <v>49.949946116605865</v>
      </c>
      <c r="C92" s="98">
        <f t="shared" si="21"/>
        <v>33.468615291514666</v>
      </c>
      <c r="D92" s="137">
        <f t="shared" si="22"/>
        <v>16.481330825091199</v>
      </c>
    </row>
    <row r="93" spans="2:4" x14ac:dyDescent="0.2">
      <c r="B93" s="106">
        <f t="shared" si="23"/>
        <v>58.367770985304091</v>
      </c>
      <c r="C93" s="98">
        <f t="shared" si="21"/>
        <v>48.101656477956126</v>
      </c>
      <c r="D93" s="137">
        <f t="shared" si="22"/>
        <v>10.266114507347961</v>
      </c>
    </row>
    <row r="94" spans="2:4" x14ac:dyDescent="0.2">
      <c r="B94" s="106">
        <f t="shared" si="23"/>
        <v>77.301151634061469</v>
      </c>
      <c r="C94" s="98">
        <f t="shared" si="21"/>
        <v>73.268010239738373</v>
      </c>
      <c r="D94" s="137">
        <f t="shared" si="22"/>
        <v>4.0331413943230903</v>
      </c>
    </row>
    <row r="95" spans="2:4" ht="16" thickBot="1" x14ac:dyDescent="0.25">
      <c r="B95" s="107">
        <f t="shared" si="23"/>
        <v>77.3</v>
      </c>
      <c r="C95" s="99">
        <f t="shared" si="21"/>
        <v>77.3</v>
      </c>
      <c r="D95" s="138">
        <f t="shared" si="22"/>
        <v>0</v>
      </c>
    </row>
  </sheetData>
  <mergeCells count="9">
    <mergeCell ref="N62:O62"/>
    <mergeCell ref="N36:O36"/>
    <mergeCell ref="B35:C35"/>
    <mergeCell ref="G45:H45"/>
    <mergeCell ref="K6:L6"/>
    <mergeCell ref="D6:E6"/>
    <mergeCell ref="F6:G6"/>
    <mergeCell ref="A6:C6"/>
    <mergeCell ref="B62:C62"/>
  </mergeCells>
  <pageMargins left="0.7" right="0.7" top="0.78740157499999996" bottom="0.78740157499999996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p(x) und T(x)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Sascha Berens</cp:lastModifiedBy>
  <dcterms:created xsi:type="dcterms:W3CDTF">2015-07-11T10:12:06Z</dcterms:created>
  <dcterms:modified xsi:type="dcterms:W3CDTF">2025-06-09T18:01:54Z</dcterms:modified>
</cp:coreProperties>
</file>