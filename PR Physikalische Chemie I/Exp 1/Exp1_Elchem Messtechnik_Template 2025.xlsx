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scha0404/Documents/UNI/Chemie/4. semester/PR-Physikalisch-Chemisches Praktikum/Auszufüllende Templates/"/>
    </mc:Choice>
  </mc:AlternateContent>
  <xr:revisionPtr revIDLastSave="0" documentId="13_ncr:1_{5DD82E26-AB0F-0D4F-9E1D-3EDC4B2BC08F}" xr6:coauthVersionLast="47" xr6:coauthVersionMax="47" xr10:uidLastSave="{00000000-0000-0000-0000-000000000000}"/>
  <bookViews>
    <workbookView xWindow="0" yWindow="500" windowWidth="28800" windowHeight="16280" xr2:uid="{B835CF81-C5FC-47D3-A2C5-F1196C1FAEF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4" i="1" l="1"/>
  <c r="U85" i="1"/>
  <c r="U86" i="1"/>
  <c r="V86" i="1" s="1"/>
  <c r="U83" i="1"/>
  <c r="V83" i="1" s="1"/>
  <c r="V84" i="1"/>
  <c r="V85" i="1"/>
  <c r="AP8" i="1"/>
  <c r="AP9" i="1"/>
  <c r="AP10" i="1"/>
  <c r="AO6" i="1"/>
  <c r="AP6" i="1" s="1"/>
  <c r="AO7" i="1"/>
  <c r="AP7" i="1" s="1"/>
  <c r="AO8" i="1"/>
  <c r="AO9" i="1"/>
  <c r="AO10" i="1"/>
  <c r="AK6" i="1"/>
  <c r="AK7" i="1"/>
  <c r="AK8" i="1"/>
  <c r="AK9" i="1"/>
  <c r="AK10" i="1"/>
  <c r="AJ6" i="1"/>
  <c r="AJ7" i="1"/>
  <c r="AJ8" i="1"/>
  <c r="AJ9" i="1"/>
  <c r="AJ10" i="1"/>
  <c r="AE6" i="1"/>
  <c r="AE7" i="1"/>
  <c r="AE8" i="1"/>
  <c r="AF8" i="1" s="1"/>
  <c r="AE9" i="1"/>
  <c r="Z6" i="1"/>
  <c r="Z7" i="1"/>
  <c r="AA7" i="1" s="1"/>
  <c r="Z8" i="1"/>
  <c r="AA8" i="1" s="1"/>
  <c r="Z9" i="1"/>
  <c r="AA9" i="1" s="1"/>
  <c r="AE10" i="1"/>
  <c r="AF6" i="1"/>
  <c r="AF7" i="1"/>
  <c r="AF9" i="1"/>
  <c r="AA6" i="1"/>
  <c r="Y83" i="1"/>
  <c r="AD56" i="1" l="1"/>
  <c r="AB62" i="1"/>
  <c r="AP12" i="1"/>
  <c r="AP13" i="1"/>
  <c r="AP17" i="1"/>
  <c r="AP18" i="1"/>
  <c r="AP19" i="1"/>
  <c r="AP20" i="1"/>
  <c r="AP21" i="1"/>
  <c r="AP22" i="1"/>
  <c r="AP11" i="1"/>
  <c r="AO12" i="1"/>
  <c r="AO13" i="1"/>
  <c r="AO14" i="1"/>
  <c r="AP14" i="1" s="1"/>
  <c r="AO15" i="1"/>
  <c r="AP15" i="1" s="1"/>
  <c r="AO16" i="1"/>
  <c r="AP16" i="1" s="1"/>
  <c r="AO17" i="1"/>
  <c r="AO18" i="1"/>
  <c r="AO19" i="1"/>
  <c r="AO20" i="1"/>
  <c r="AO21" i="1"/>
  <c r="AO22" i="1"/>
  <c r="AO23" i="1"/>
  <c r="AP23" i="1" s="1"/>
  <c r="AO24" i="1"/>
  <c r="AP24" i="1" s="1"/>
  <c r="AO11" i="1"/>
  <c r="AK13" i="1"/>
  <c r="AK14" i="1"/>
  <c r="AK15" i="1"/>
  <c r="AK16" i="1"/>
  <c r="AK17" i="1"/>
  <c r="AK18" i="1"/>
  <c r="AK21" i="1"/>
  <c r="AK22" i="1"/>
  <c r="AK23" i="1"/>
  <c r="AK24" i="1"/>
  <c r="AK11" i="1"/>
  <c r="AJ12" i="1"/>
  <c r="AK12" i="1" s="1"/>
  <c r="AJ13" i="1"/>
  <c r="AJ14" i="1"/>
  <c r="AJ15" i="1"/>
  <c r="AJ16" i="1"/>
  <c r="AJ17" i="1"/>
  <c r="AJ18" i="1"/>
  <c r="AJ19" i="1"/>
  <c r="AK19" i="1" s="1"/>
  <c r="AJ20" i="1"/>
  <c r="AK20" i="1" s="1"/>
  <c r="AJ21" i="1"/>
  <c r="AJ22" i="1"/>
  <c r="AJ23" i="1"/>
  <c r="AJ24" i="1"/>
  <c r="AF10" i="1"/>
  <c r="AJ11" i="1"/>
  <c r="AF11" i="1"/>
  <c r="AF12" i="1"/>
  <c r="AF15" i="1"/>
  <c r="AF16" i="1"/>
  <c r="AF17" i="1"/>
  <c r="AF18" i="1"/>
  <c r="AF19" i="1"/>
  <c r="AF20" i="1"/>
  <c r="AF23" i="1"/>
  <c r="AF24" i="1"/>
  <c r="AE11" i="1"/>
  <c r="AE12" i="1"/>
  <c r="AE13" i="1"/>
  <c r="AF13" i="1" s="1"/>
  <c r="AE14" i="1"/>
  <c r="AF14" i="1" s="1"/>
  <c r="AE15" i="1"/>
  <c r="AE16" i="1"/>
  <c r="AE17" i="1"/>
  <c r="AE18" i="1"/>
  <c r="AE19" i="1"/>
  <c r="AE20" i="1"/>
  <c r="AE21" i="1"/>
  <c r="AF21" i="1" s="1"/>
  <c r="AE22" i="1"/>
  <c r="AF22" i="1" s="1"/>
  <c r="AE23" i="1"/>
  <c r="AE24" i="1"/>
  <c r="AA11" i="1"/>
  <c r="AA12" i="1"/>
  <c r="AA13" i="1"/>
  <c r="AA14" i="1"/>
  <c r="AA15" i="1"/>
  <c r="AA16" i="1"/>
  <c r="AA18" i="1"/>
  <c r="AA19" i="1"/>
  <c r="AA20" i="1"/>
  <c r="AA21" i="1"/>
  <c r="AA22" i="1"/>
  <c r="AA23" i="1"/>
  <c r="AA24" i="1"/>
  <c r="Z11" i="1"/>
  <c r="Z12" i="1"/>
  <c r="Z13" i="1"/>
  <c r="Z14" i="1"/>
  <c r="Z15" i="1"/>
  <c r="Z16" i="1"/>
  <c r="Z17" i="1"/>
  <c r="AA17" i="1" s="1"/>
  <c r="Z18" i="1"/>
  <c r="Z19" i="1"/>
  <c r="Z20" i="1"/>
  <c r="Z21" i="1"/>
  <c r="Z22" i="1"/>
  <c r="Z23" i="1"/>
  <c r="Z24" i="1"/>
  <c r="Z10" i="1"/>
  <c r="AA10" i="1" s="1"/>
  <c r="R9" i="1"/>
  <c r="R8" i="1"/>
  <c r="R7" i="1"/>
  <c r="R6" i="1"/>
  <c r="R5" i="1"/>
  <c r="B8" i="1"/>
  <c r="B38" i="1" s="1"/>
  <c r="B9" i="1"/>
  <c r="B10" i="1"/>
  <c r="B11" i="1"/>
  <c r="B12" i="1"/>
  <c r="C33" i="1"/>
  <c r="S5" i="1" s="1"/>
  <c r="T5" i="1" s="1"/>
  <c r="B33" i="1"/>
  <c r="C17" i="1"/>
  <c r="C38" i="1" l="1"/>
  <c r="S10" i="1" s="1"/>
  <c r="T10" i="1" s="1"/>
  <c r="C34" i="1"/>
  <c r="S6" i="1" s="1"/>
  <c r="T6" i="1" s="1"/>
  <c r="C36" i="1"/>
  <c r="S8" i="1" s="1"/>
  <c r="T8" i="1" s="1"/>
  <c r="C35" i="1"/>
  <c r="S7" i="1" s="1"/>
  <c r="T7" i="1" s="1"/>
  <c r="C37" i="1"/>
  <c r="S9" i="1" s="1"/>
  <c r="T9" i="1" s="1"/>
  <c r="B37" i="1" l="1"/>
  <c r="B35" i="1"/>
  <c r="B36" i="1"/>
  <c r="B34" i="1"/>
</calcChain>
</file>

<file path=xl/sharedStrings.xml><?xml version="1.0" encoding="utf-8"?>
<sst xmlns="http://schemas.openxmlformats.org/spreadsheetml/2006/main" count="72" uniqueCount="35">
  <si>
    <t>Part 1</t>
  </si>
  <si>
    <t>Konzentration / M</t>
  </si>
  <si>
    <t>Template Richtlinien:</t>
  </si>
  <si>
    <t>Nur orange Eingefärbte Felder Ausfüllen</t>
  </si>
  <si>
    <t>Auf die Einheiten achten</t>
  </si>
  <si>
    <t>Nichts am Template verändern</t>
  </si>
  <si>
    <t>Part 2</t>
  </si>
  <si>
    <t>Potential / V</t>
  </si>
  <si>
    <t>E / V</t>
  </si>
  <si>
    <t>15 °C</t>
  </si>
  <si>
    <t>20 °C</t>
  </si>
  <si>
    <t>25 °C</t>
  </si>
  <si>
    <t>30°C</t>
  </si>
  <si>
    <t>Strom / µA</t>
  </si>
  <si>
    <t>Temperatur / °C</t>
  </si>
  <si>
    <t>Temperatur</t>
  </si>
  <si>
    <t>R</t>
  </si>
  <si>
    <t>F</t>
  </si>
  <si>
    <t>Reversible Zellspannung</t>
  </si>
  <si>
    <t>T [°C]</t>
  </si>
  <si>
    <t>eventuell -deltaE</t>
  </si>
  <si>
    <t>Aktivitätskoeffizienten_Theo y</t>
  </si>
  <si>
    <t>mittlerer Aktivitätskoeffizienten y</t>
  </si>
  <si>
    <t>nicht in Tabelle aufgelistet</t>
  </si>
  <si>
    <t>Reversible Zellspannung[V]</t>
  </si>
  <si>
    <t>Ergebnis Standardelektrodenpotential +Fehler</t>
  </si>
  <si>
    <t>Aktivität a [Bq]</t>
  </si>
  <si>
    <t>Reaktionsentropie:</t>
  </si>
  <si>
    <t>DeltaG_Theo</t>
  </si>
  <si>
    <t>Entropie_Theo</t>
  </si>
  <si>
    <t>Reversible Zellspannung [V]</t>
  </si>
  <si>
    <t>Gibbs-Energie [J/mol]</t>
  </si>
  <si>
    <t>DeltaG [J/mol]</t>
  </si>
  <si>
    <t>DeltaG_Theo [J/mol]</t>
  </si>
  <si>
    <t>Abscheidungsspannung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</si>
</sst>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"/>
  </numFmts>
  <fonts count="3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medium">
        <color indexed="64"/>
      </right>
      <top/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8">
    <xf numFmtId="0" fontId="0" fillId="0" borderId="0" xfId="0"/>
    <xf numFmtId="0" fontId="1" fillId="2" borderId="2" xfId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8" xfId="1" applyBorder="1"/>
    <xf numFmtId="0" fontId="0" fillId="0" borderId="9" xfId="0" applyBorder="1"/>
    <xf numFmtId="0" fontId="1" fillId="2" borderId="10" xfId="1" applyBorder="1"/>
    <xf numFmtId="0" fontId="0" fillId="0" borderId="11" xfId="0" applyBorder="1"/>
    <xf numFmtId="0" fontId="1" fillId="2" borderId="12" xfId="1" applyBorder="1"/>
    <xf numFmtId="0" fontId="1" fillId="2" borderId="13" xfId="1" applyBorder="1"/>
    <xf numFmtId="0" fontId="1" fillId="2" borderId="14" xfId="1" applyBorder="1"/>
    <xf numFmtId="0" fontId="1" fillId="2" borderId="1" xfId="1"/>
    <xf numFmtId="0" fontId="1" fillId="2" borderId="15" xfId="1" applyBorder="1"/>
    <xf numFmtId="0" fontId="1" fillId="2" borderId="16" xfId="1" applyBorder="1"/>
    <xf numFmtId="0" fontId="1" fillId="2" borderId="17" xfId="1" applyBorder="1"/>
    <xf numFmtId="0" fontId="0" fillId="0" borderId="18" xfId="0" applyBorder="1"/>
    <xf numFmtId="0" fontId="1" fillId="2" borderId="19" xfId="1" applyBorder="1"/>
    <xf numFmtId="0" fontId="0" fillId="0" borderId="20" xfId="0" applyBorder="1"/>
    <xf numFmtId="0" fontId="0" fillId="0" borderId="21" xfId="0" applyBorder="1"/>
    <xf numFmtId="0" fontId="2" fillId="3" borderId="0" xfId="0" applyFont="1" applyFill="1"/>
    <xf numFmtId="0" fontId="0" fillId="0" borderId="25" xfId="0" applyBorder="1"/>
    <xf numFmtId="0" fontId="0" fillId="0" borderId="26" xfId="0" applyBorder="1"/>
    <xf numFmtId="0" fontId="0" fillId="0" borderId="22" xfId="0" applyBorder="1"/>
    <xf numFmtId="0" fontId="2" fillId="0" borderId="3" xfId="0" applyFont="1" applyBorder="1"/>
    <xf numFmtId="0" fontId="0" fillId="0" borderId="28" xfId="0" applyBorder="1"/>
    <xf numFmtId="0" fontId="1" fillId="2" borderId="29" xfId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29" xfId="0" applyBorder="1"/>
    <xf numFmtId="0" fontId="0" fillId="0" borderId="35" xfId="0" applyBorder="1"/>
    <xf numFmtId="0" fontId="0" fillId="0" borderId="27" xfId="0" applyBorder="1"/>
    <xf numFmtId="0" fontId="0" fillId="0" borderId="28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27" xfId="0" applyNumberFormat="1" applyBorder="1" applyAlignment="1">
      <alignment horizontal="center"/>
    </xf>
    <xf numFmtId="0" fontId="0" fillId="4" borderId="27" xfId="0" applyFill="1" applyBorder="1" applyAlignment="1">
      <alignment horizontal="center" vertical="center"/>
    </xf>
    <xf numFmtId="164" fontId="0" fillId="4" borderId="27" xfId="0" applyNumberFormat="1" applyFill="1" applyBorder="1" applyAlignment="1">
      <alignment horizontal="center" vertical="center"/>
    </xf>
    <xf numFmtId="166" fontId="0" fillId="4" borderId="27" xfId="0" applyNumberFormat="1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" fillId="4" borderId="27" xfId="1" applyFill="1" applyBorder="1" applyAlignment="1">
      <alignment horizontal="center" vertical="center"/>
    </xf>
    <xf numFmtId="1" fontId="0" fillId="4" borderId="27" xfId="0" applyNumberFormat="1" applyFill="1" applyBorder="1" applyAlignment="1">
      <alignment horizontal="center" vertical="center"/>
    </xf>
    <xf numFmtId="0" fontId="0" fillId="0" borderId="0" xfId="0" applyBorder="1"/>
    <xf numFmtId="0" fontId="0" fillId="4" borderId="27" xfId="0" applyFill="1" applyBorder="1" applyAlignment="1">
      <alignment horizontal="center"/>
    </xf>
    <xf numFmtId="0" fontId="0" fillId="4" borderId="20" xfId="0" applyFill="1" applyBorder="1" applyAlignment="1">
      <alignment horizontal="center" vertical="center"/>
    </xf>
  </cellXfs>
  <cellStyles count="2">
    <cellStyle name="Eingabe" xfId="1" builtinId="20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Teil 2:Grapf 2: Reversible Zellspannung gegen Temp.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Tabelle1!$S$83:$S$86</c:f>
              <c:numCache>
                <c:formatCode>General</c:formatCode>
                <c:ptCount val="4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</c:numCache>
            </c:numRef>
          </c:xVal>
          <c:yVal>
            <c:numRef>
              <c:f>Tabelle1!$U$83:$U$86</c:f>
              <c:numCache>
                <c:formatCode>General</c:formatCode>
                <c:ptCount val="4"/>
                <c:pt idx="0">
                  <c:v>-1.431</c:v>
                </c:pt>
                <c:pt idx="1">
                  <c:v>-1.4139999999999999</c:v>
                </c:pt>
                <c:pt idx="2">
                  <c:v>-1.395</c:v>
                </c:pt>
                <c:pt idx="3">
                  <c:v>-1.403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59-B240-BEB7-4A41AAA23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534912"/>
        <c:axId val="744374031"/>
      </c:scatterChart>
      <c:valAx>
        <c:axId val="86853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Temperatur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44374031"/>
        <c:crosses val="autoZero"/>
        <c:crossBetween val="midCat"/>
      </c:valAx>
      <c:valAx>
        <c:axId val="74437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Reversible Zellspannung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8534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15°C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Tabelle1!$E$79:$E$97</c:f>
              <c:numCache>
                <c:formatCode>General</c:formatCode>
                <c:ptCount val="19"/>
                <c:pt idx="0">
                  <c:v>1.196</c:v>
                </c:pt>
                <c:pt idx="1">
                  <c:v>1.2210000000000001</c:v>
                </c:pt>
                <c:pt idx="2">
                  <c:v>1.236</c:v>
                </c:pt>
                <c:pt idx="3">
                  <c:v>1.2589999999999999</c:v>
                </c:pt>
                <c:pt idx="4">
                  <c:v>1.2809999999999999</c:v>
                </c:pt>
                <c:pt idx="5">
                  <c:v>1.296</c:v>
                </c:pt>
                <c:pt idx="6">
                  <c:v>1.3129999999999999</c:v>
                </c:pt>
                <c:pt idx="7">
                  <c:v>1.3380000000000001</c:v>
                </c:pt>
                <c:pt idx="8">
                  <c:v>1.355</c:v>
                </c:pt>
                <c:pt idx="9">
                  <c:v>1.3759999999999999</c:v>
                </c:pt>
                <c:pt idx="10">
                  <c:v>1.397</c:v>
                </c:pt>
                <c:pt idx="11">
                  <c:v>1.4139999999999999</c:v>
                </c:pt>
                <c:pt idx="12">
                  <c:v>1.431</c:v>
                </c:pt>
                <c:pt idx="13">
                  <c:v>1.458</c:v>
                </c:pt>
                <c:pt idx="14">
                  <c:v>1.478</c:v>
                </c:pt>
                <c:pt idx="15">
                  <c:v>1.4990000000000001</c:v>
                </c:pt>
                <c:pt idx="16">
                  <c:v>1.506</c:v>
                </c:pt>
                <c:pt idx="17">
                  <c:v>1.5109999999999999</c:v>
                </c:pt>
                <c:pt idx="18">
                  <c:v>1.516</c:v>
                </c:pt>
              </c:numCache>
            </c:numRef>
          </c:xVal>
          <c:yVal>
            <c:numRef>
              <c:f>Tabelle1!$F$79:$F$97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</c:v>
                </c:pt>
                <c:pt idx="5">
                  <c:v>60</c:v>
                </c:pt>
                <c:pt idx="6">
                  <c:v>130</c:v>
                </c:pt>
                <c:pt idx="7">
                  <c:v>270</c:v>
                </c:pt>
                <c:pt idx="8">
                  <c:v>400</c:v>
                </c:pt>
                <c:pt idx="9">
                  <c:v>610</c:v>
                </c:pt>
                <c:pt idx="10">
                  <c:v>870</c:v>
                </c:pt>
                <c:pt idx="11">
                  <c:v>1090</c:v>
                </c:pt>
                <c:pt idx="12">
                  <c:v>1360</c:v>
                </c:pt>
                <c:pt idx="13">
                  <c:v>1700</c:v>
                </c:pt>
                <c:pt idx="14">
                  <c:v>2060</c:v>
                </c:pt>
                <c:pt idx="15">
                  <c:v>2440</c:v>
                </c:pt>
                <c:pt idx="16">
                  <c:v>2630</c:v>
                </c:pt>
                <c:pt idx="17">
                  <c:v>2930</c:v>
                </c:pt>
                <c:pt idx="18">
                  <c:v>3010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3A-7446-8BE9-F681244D3E9C}"/>
            </c:ext>
          </c:extLst>
        </c:ser>
        <c:ser>
          <c:idx val="1"/>
          <c:order val="1"/>
          <c:tx>
            <c:v>20°C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Tabelle1!$H$79:$H$97</c:f>
              <c:numCache>
                <c:formatCode>General</c:formatCode>
                <c:ptCount val="19"/>
                <c:pt idx="0">
                  <c:v>1.198</c:v>
                </c:pt>
                <c:pt idx="1">
                  <c:v>1.2170000000000001</c:v>
                </c:pt>
                <c:pt idx="2">
                  <c:v>1.2390000000000001</c:v>
                </c:pt>
                <c:pt idx="3">
                  <c:v>1.254</c:v>
                </c:pt>
                <c:pt idx="4">
                  <c:v>1.28</c:v>
                </c:pt>
                <c:pt idx="5">
                  <c:v>1.3</c:v>
                </c:pt>
                <c:pt idx="6">
                  <c:v>1.323</c:v>
                </c:pt>
                <c:pt idx="7">
                  <c:v>1.3580000000000001</c:v>
                </c:pt>
                <c:pt idx="8">
                  <c:v>1.375</c:v>
                </c:pt>
                <c:pt idx="9">
                  <c:v>1.3959999999999999</c:v>
                </c:pt>
                <c:pt idx="10">
                  <c:v>1.4219999999999999</c:v>
                </c:pt>
                <c:pt idx="11">
                  <c:v>1.4390000000000001</c:v>
                </c:pt>
                <c:pt idx="12">
                  <c:v>1.4490000000000001</c:v>
                </c:pt>
                <c:pt idx="13">
                  <c:v>1.4750000000000001</c:v>
                </c:pt>
                <c:pt idx="14">
                  <c:v>1.4890000000000001</c:v>
                </c:pt>
                <c:pt idx="15">
                  <c:v>1.5089999999999999</c:v>
                </c:pt>
                <c:pt idx="16">
                  <c:v>1.526</c:v>
                </c:pt>
                <c:pt idx="17">
                  <c:v>1.5309999999999999</c:v>
                </c:pt>
                <c:pt idx="18">
                  <c:v>1.5509999999999999</c:v>
                </c:pt>
              </c:numCache>
            </c:numRef>
          </c:xVal>
          <c:yVal>
            <c:numRef>
              <c:f>Tabelle1!$I$79:$I$97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50</c:v>
                </c:pt>
                <c:pt idx="7">
                  <c:v>140</c:v>
                </c:pt>
                <c:pt idx="8">
                  <c:v>250</c:v>
                </c:pt>
                <c:pt idx="9">
                  <c:v>440</c:v>
                </c:pt>
                <c:pt idx="10">
                  <c:v>670</c:v>
                </c:pt>
                <c:pt idx="11">
                  <c:v>900</c:v>
                </c:pt>
                <c:pt idx="12">
                  <c:v>1130</c:v>
                </c:pt>
                <c:pt idx="13">
                  <c:v>1440</c:v>
                </c:pt>
                <c:pt idx="14">
                  <c:v>1690</c:v>
                </c:pt>
                <c:pt idx="15">
                  <c:v>2090</c:v>
                </c:pt>
                <c:pt idx="16">
                  <c:v>2350</c:v>
                </c:pt>
                <c:pt idx="17">
                  <c:v>2580</c:v>
                </c:pt>
                <c:pt idx="18">
                  <c:v>2980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3A-7446-8BE9-F681244D3E9C}"/>
            </c:ext>
          </c:extLst>
        </c:ser>
        <c:ser>
          <c:idx val="2"/>
          <c:order val="2"/>
          <c:tx>
            <c:v>25°C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Tabelle1!$K$79:$K$97</c:f>
              <c:numCache>
                <c:formatCode>General</c:formatCode>
                <c:ptCount val="19"/>
                <c:pt idx="0">
                  <c:v>1.1930000000000001</c:v>
                </c:pt>
                <c:pt idx="1">
                  <c:v>1.216</c:v>
                </c:pt>
                <c:pt idx="2">
                  <c:v>1.242</c:v>
                </c:pt>
                <c:pt idx="3">
                  <c:v>1.2549999999999999</c:v>
                </c:pt>
                <c:pt idx="4">
                  <c:v>1.2749999999999999</c:v>
                </c:pt>
                <c:pt idx="5">
                  <c:v>1.2969999999999999</c:v>
                </c:pt>
                <c:pt idx="6">
                  <c:v>1.321</c:v>
                </c:pt>
                <c:pt idx="7">
                  <c:v>1.339</c:v>
                </c:pt>
                <c:pt idx="8">
                  <c:v>1.357</c:v>
                </c:pt>
                <c:pt idx="9">
                  <c:v>1.369</c:v>
                </c:pt>
                <c:pt idx="10">
                  <c:v>1.373</c:v>
                </c:pt>
                <c:pt idx="11">
                  <c:v>1.3979999999999999</c:v>
                </c:pt>
                <c:pt idx="12">
                  <c:v>1.4119999999999999</c:v>
                </c:pt>
                <c:pt idx="13">
                  <c:v>1.43</c:v>
                </c:pt>
                <c:pt idx="14">
                  <c:v>1.4550000000000001</c:v>
                </c:pt>
                <c:pt idx="15">
                  <c:v>1.4710000000000001</c:v>
                </c:pt>
                <c:pt idx="16">
                  <c:v>1.488</c:v>
                </c:pt>
                <c:pt idx="17">
                  <c:v>1.5089999999999999</c:v>
                </c:pt>
                <c:pt idx="18">
                  <c:v>1.5329999999999999</c:v>
                </c:pt>
              </c:numCache>
            </c:numRef>
          </c:xVal>
          <c:yVal>
            <c:numRef>
              <c:f>Tabelle1!$L$79:$L$97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</c:v>
                </c:pt>
                <c:pt idx="6">
                  <c:v>40</c:v>
                </c:pt>
                <c:pt idx="7">
                  <c:v>90</c:v>
                </c:pt>
                <c:pt idx="8">
                  <c:v>200</c:v>
                </c:pt>
                <c:pt idx="9">
                  <c:v>280</c:v>
                </c:pt>
                <c:pt idx="10">
                  <c:v>290</c:v>
                </c:pt>
                <c:pt idx="11">
                  <c:v>550</c:v>
                </c:pt>
                <c:pt idx="12">
                  <c:v>720</c:v>
                </c:pt>
                <c:pt idx="13">
                  <c:v>1000</c:v>
                </c:pt>
                <c:pt idx="14">
                  <c:v>1360</c:v>
                </c:pt>
                <c:pt idx="15">
                  <c:v>1670</c:v>
                </c:pt>
                <c:pt idx="16">
                  <c:v>2020</c:v>
                </c:pt>
                <c:pt idx="17">
                  <c:v>2480</c:v>
                </c:pt>
                <c:pt idx="18">
                  <c:v>3020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3A-7446-8BE9-F681244D3E9C}"/>
            </c:ext>
          </c:extLst>
        </c:ser>
        <c:ser>
          <c:idx val="3"/>
          <c:order val="3"/>
          <c:tx>
            <c:v>30°C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Tabelle1!$N$79:$N$97</c:f>
              <c:numCache>
                <c:formatCode>General</c:formatCode>
                <c:ptCount val="19"/>
                <c:pt idx="0">
                  <c:v>1.202</c:v>
                </c:pt>
                <c:pt idx="1">
                  <c:v>1.22</c:v>
                </c:pt>
                <c:pt idx="2">
                  <c:v>1.234</c:v>
                </c:pt>
                <c:pt idx="3">
                  <c:v>1.2549999999999999</c:v>
                </c:pt>
                <c:pt idx="4">
                  <c:v>1.28</c:v>
                </c:pt>
                <c:pt idx="5">
                  <c:v>1.298</c:v>
                </c:pt>
                <c:pt idx="6">
                  <c:v>1.3129999999999999</c:v>
                </c:pt>
                <c:pt idx="7">
                  <c:v>1.3380000000000001</c:v>
                </c:pt>
                <c:pt idx="8">
                  <c:v>1.3520000000000001</c:v>
                </c:pt>
                <c:pt idx="9">
                  <c:v>1.375</c:v>
                </c:pt>
                <c:pt idx="10">
                  <c:v>1.397</c:v>
                </c:pt>
                <c:pt idx="11">
                  <c:v>1.415</c:v>
                </c:pt>
                <c:pt idx="12">
                  <c:v>1.431</c:v>
                </c:pt>
                <c:pt idx="13">
                  <c:v>1.4550000000000001</c:v>
                </c:pt>
                <c:pt idx="14">
                  <c:v>1.474</c:v>
                </c:pt>
                <c:pt idx="15">
                  <c:v>1.4810000000000001</c:v>
                </c:pt>
                <c:pt idx="16">
                  <c:v>1.4990000000000001</c:v>
                </c:pt>
                <c:pt idx="17">
                  <c:v>1.5149999999999999</c:v>
                </c:pt>
                <c:pt idx="18">
                  <c:v>1.524</c:v>
                </c:pt>
              </c:numCache>
            </c:numRef>
          </c:xVal>
          <c:yVal>
            <c:numRef>
              <c:f>Tabelle1!$O$79:$O$97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</c:v>
                </c:pt>
                <c:pt idx="6">
                  <c:v>40</c:v>
                </c:pt>
                <c:pt idx="7">
                  <c:v>130</c:v>
                </c:pt>
                <c:pt idx="8">
                  <c:v>220</c:v>
                </c:pt>
                <c:pt idx="9">
                  <c:v>420</c:v>
                </c:pt>
                <c:pt idx="10">
                  <c:v>700</c:v>
                </c:pt>
                <c:pt idx="11">
                  <c:v>930</c:v>
                </c:pt>
                <c:pt idx="12">
                  <c:v>1200</c:v>
                </c:pt>
                <c:pt idx="13">
                  <c:v>1700</c:v>
                </c:pt>
                <c:pt idx="14">
                  <c:v>2080</c:v>
                </c:pt>
                <c:pt idx="15">
                  <c:v>2400</c:v>
                </c:pt>
                <c:pt idx="16">
                  <c:v>2990</c:v>
                </c:pt>
                <c:pt idx="17">
                  <c:v>3380</c:v>
                </c:pt>
                <c:pt idx="18">
                  <c:v>3770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3A-7446-8BE9-F681244D3E9C}"/>
            </c:ext>
          </c:extLst>
        </c:ser>
        <c:ser>
          <c:idx val="4"/>
          <c:order val="4"/>
          <c:tx>
            <c:v>15 extra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backward val="0.2"/>
            <c:dispRSqr val="0"/>
            <c:dispEq val="0"/>
          </c:trendline>
          <c:xVal>
            <c:numRef>
              <c:f>Tabelle1!$E$94:$E$97</c:f>
              <c:numCache>
                <c:formatCode>General</c:formatCode>
                <c:ptCount val="4"/>
                <c:pt idx="0">
                  <c:v>1.4990000000000001</c:v>
                </c:pt>
                <c:pt idx="1">
                  <c:v>1.506</c:v>
                </c:pt>
                <c:pt idx="2">
                  <c:v>1.5109999999999999</c:v>
                </c:pt>
                <c:pt idx="3">
                  <c:v>1.516</c:v>
                </c:pt>
              </c:numCache>
            </c:numRef>
          </c:xVal>
          <c:yVal>
            <c:numRef>
              <c:f>Tabelle1!$F$94:$F$97</c:f>
              <c:numCache>
                <c:formatCode>General</c:formatCode>
                <c:ptCount val="4"/>
                <c:pt idx="0">
                  <c:v>2440</c:v>
                </c:pt>
                <c:pt idx="1">
                  <c:v>2630</c:v>
                </c:pt>
                <c:pt idx="2">
                  <c:v>2930</c:v>
                </c:pt>
                <c:pt idx="3">
                  <c:v>3010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3A-7446-8BE9-F681244D3E9C}"/>
            </c:ext>
          </c:extLst>
        </c:ser>
        <c:ser>
          <c:idx val="5"/>
          <c:order val="5"/>
          <c:tx>
            <c:v>20 extra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backward val="0.15"/>
            <c:dispRSqr val="0"/>
            <c:dispEq val="0"/>
          </c:trendline>
          <c:xVal>
            <c:numRef>
              <c:f>Tabelle1!$H$94:$H$97</c:f>
              <c:numCache>
                <c:formatCode>General</c:formatCode>
                <c:ptCount val="4"/>
                <c:pt idx="0">
                  <c:v>1.5089999999999999</c:v>
                </c:pt>
                <c:pt idx="1">
                  <c:v>1.526</c:v>
                </c:pt>
                <c:pt idx="2">
                  <c:v>1.5309999999999999</c:v>
                </c:pt>
                <c:pt idx="3">
                  <c:v>1.5509999999999999</c:v>
                </c:pt>
              </c:numCache>
            </c:numRef>
          </c:xVal>
          <c:yVal>
            <c:numRef>
              <c:f>Tabelle1!$I$94:$I$97</c:f>
              <c:numCache>
                <c:formatCode>General</c:formatCode>
                <c:ptCount val="4"/>
                <c:pt idx="0">
                  <c:v>2090</c:v>
                </c:pt>
                <c:pt idx="1">
                  <c:v>2350</c:v>
                </c:pt>
                <c:pt idx="2">
                  <c:v>2580</c:v>
                </c:pt>
                <c:pt idx="3">
                  <c:v>2980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3A-7446-8BE9-F681244D3E9C}"/>
            </c:ext>
          </c:extLst>
        </c:ser>
        <c:ser>
          <c:idx val="6"/>
          <c:order val="6"/>
          <c:tx>
            <c:v>25 extra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backward val="0.15"/>
            <c:dispRSqr val="0"/>
            <c:dispEq val="0"/>
          </c:trendline>
          <c:xVal>
            <c:numRef>
              <c:f>Tabelle1!$K$94:$K$97</c:f>
              <c:numCache>
                <c:formatCode>General</c:formatCode>
                <c:ptCount val="4"/>
                <c:pt idx="0">
                  <c:v>1.4710000000000001</c:v>
                </c:pt>
                <c:pt idx="1">
                  <c:v>1.488</c:v>
                </c:pt>
                <c:pt idx="2">
                  <c:v>1.5089999999999999</c:v>
                </c:pt>
                <c:pt idx="3">
                  <c:v>1.5329999999999999</c:v>
                </c:pt>
              </c:numCache>
            </c:numRef>
          </c:xVal>
          <c:yVal>
            <c:numRef>
              <c:f>Tabelle1!$L$94:$L$97</c:f>
              <c:numCache>
                <c:formatCode>General</c:formatCode>
                <c:ptCount val="4"/>
                <c:pt idx="0">
                  <c:v>1670</c:v>
                </c:pt>
                <c:pt idx="1">
                  <c:v>2020</c:v>
                </c:pt>
                <c:pt idx="2">
                  <c:v>2480</c:v>
                </c:pt>
                <c:pt idx="3">
                  <c:v>3020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3A-7446-8BE9-F681244D3E9C}"/>
            </c:ext>
          </c:extLst>
        </c:ser>
        <c:ser>
          <c:idx val="7"/>
          <c:order val="7"/>
          <c:tx>
            <c:v>30 extra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backward val="0.15"/>
            <c:dispRSqr val="0"/>
            <c:dispEq val="0"/>
          </c:trendline>
          <c:xVal>
            <c:numRef>
              <c:f>Tabelle1!$N$94:$N$97</c:f>
              <c:numCache>
                <c:formatCode>General</c:formatCode>
                <c:ptCount val="4"/>
                <c:pt idx="0">
                  <c:v>1.4810000000000001</c:v>
                </c:pt>
                <c:pt idx="1">
                  <c:v>1.4990000000000001</c:v>
                </c:pt>
                <c:pt idx="2">
                  <c:v>1.5149999999999999</c:v>
                </c:pt>
                <c:pt idx="3">
                  <c:v>1.524</c:v>
                </c:pt>
              </c:numCache>
            </c:numRef>
          </c:xVal>
          <c:yVal>
            <c:numRef>
              <c:f>Tabelle1!$O$94:$O$97</c:f>
              <c:numCache>
                <c:formatCode>General</c:formatCode>
                <c:ptCount val="4"/>
                <c:pt idx="0">
                  <c:v>2400</c:v>
                </c:pt>
                <c:pt idx="1">
                  <c:v>2990</c:v>
                </c:pt>
                <c:pt idx="2">
                  <c:v>3380</c:v>
                </c:pt>
                <c:pt idx="3">
                  <c:v>3770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3A-7446-8BE9-F681244D3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059679"/>
        <c:axId val="665015455"/>
      </c:scatterChart>
      <c:valAx>
        <c:axId val="665059679"/>
        <c:scaling>
          <c:orientation val="minMax"/>
          <c:min val="1.1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5015455"/>
        <c:crosses val="autoZero"/>
        <c:crossBetween val="midCat"/>
      </c:valAx>
      <c:valAx>
        <c:axId val="66501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5059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238056937232774"/>
          <c:y val="0"/>
          <c:w val="0.27094667760387597"/>
          <c:h val="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Tabelle1!$S$83:$S$86</c:f>
              <c:numCache>
                <c:formatCode>General</c:formatCode>
                <c:ptCount val="4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</c:numCache>
            </c:numRef>
          </c:xVal>
          <c:yVal>
            <c:numRef>
              <c:f>Tabelle1!$U$83:$U$86</c:f>
              <c:numCache>
                <c:formatCode>General</c:formatCode>
                <c:ptCount val="4"/>
                <c:pt idx="0">
                  <c:v>-1.431</c:v>
                </c:pt>
                <c:pt idx="1">
                  <c:v>-1.4139999999999999</c:v>
                </c:pt>
                <c:pt idx="2">
                  <c:v>-1.395</c:v>
                </c:pt>
                <c:pt idx="3">
                  <c:v>-1.403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5F-7948-B7A8-838D8A9D2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750607"/>
        <c:axId val="865508047"/>
      </c:scatterChart>
      <c:valAx>
        <c:axId val="1942750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5508047"/>
        <c:crosses val="autoZero"/>
        <c:crossBetween val="midCat"/>
      </c:valAx>
      <c:valAx>
        <c:axId val="86550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42750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31</xdr:row>
      <xdr:rowOff>30480</xdr:rowOff>
    </xdr:from>
    <xdr:ext cx="1644553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feld 13">
              <a:extLst>
                <a:ext uri="{FF2B5EF4-FFF2-40B4-BE49-F238E27FC236}">
                  <a16:creationId xmlns:a16="http://schemas.microsoft.com/office/drawing/2014/main" id="{D4FD2C44-F5E7-DF71-22EB-FD4C7931E5A6}"/>
                </a:ext>
              </a:extLst>
            </xdr:cNvPr>
            <xdr:cNvSpPr txBox="1"/>
          </xdr:nvSpPr>
          <xdr:spPr>
            <a:xfrm>
              <a:off x="2131786" y="5981337"/>
              <a:ext cx="1644553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fr-CH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𝐸</m:t>
                    </m:r>
                    <m:r>
                      <a:rPr lang="fr-CH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fr-CH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fr-CH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  <m:r>
                          <a:rPr lang="fr-CH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𝑅𝑇</m:t>
                        </m:r>
                      </m:num>
                      <m:den>
                        <m:r>
                          <a:rPr lang="fr-CH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𝐹</m:t>
                        </m:r>
                      </m:den>
                    </m:f>
                    <m:r>
                      <a:rPr lang="fr-CH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∗</m:t>
                    </m:r>
                    <m:func>
                      <m:funcPr>
                        <m:ctrlPr>
                          <a:rPr lang="fr-CH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fr-CH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ln</m:t>
                        </m:r>
                      </m:fName>
                      <m:e>
                        <m:d>
                          <m:dPr>
                            <m:ctrlPr>
                              <a:rPr lang="fr-CH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fr-CH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𝑐</m:t>
                            </m:r>
                            <m:d>
                              <m:dPr>
                                <m:ctrlPr>
                                  <a:rPr lang="fr-CH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𝐻𝐶𝑙</m:t>
                                </m:r>
                              </m:e>
                            </m:d>
                          </m:e>
                        </m:d>
                      </m:e>
                    </m:func>
                    <m:r>
                      <a:rPr lang="fr-CH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[</m:t>
                    </m:r>
                    <m:r>
                      <a:rPr lang="fr-CH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𝑉</m:t>
                    </m:r>
                    <m:r>
                      <a:rPr lang="fr-CH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14" name="Textfeld 13">
              <a:extLst>
                <a:ext uri="{FF2B5EF4-FFF2-40B4-BE49-F238E27FC236}">
                  <a16:creationId xmlns:a16="http://schemas.microsoft.com/office/drawing/2014/main" id="{D4FD2C44-F5E7-DF71-22EB-FD4C7931E5A6}"/>
                </a:ext>
              </a:extLst>
            </xdr:cNvPr>
            <xdr:cNvSpPr txBox="1"/>
          </xdr:nvSpPr>
          <xdr:spPr>
            <a:xfrm>
              <a:off x="2131786" y="5981337"/>
              <a:ext cx="1644553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e-DE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fr-CH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𝐸+2𝑅𝑇/𝐹∗ln⁡(𝑐(𝐻𝐶𝑙)) [𝑉]</a:t>
              </a:r>
              <a:endParaRPr lang="de-DE" sz="1100"/>
            </a:p>
          </xdr:txBody>
        </xdr:sp>
      </mc:Fallback>
    </mc:AlternateContent>
    <xdr:clientData/>
  </xdr:oneCellAnchor>
  <xdr:oneCellAnchor>
    <xdr:from>
      <xdr:col>1</xdr:col>
      <xdr:colOff>301534</xdr:colOff>
      <xdr:row>31</xdr:row>
      <xdr:rowOff>29029</xdr:rowOff>
    </xdr:from>
    <xdr:ext cx="637739" cy="3325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feld 14">
              <a:extLst>
                <a:ext uri="{FF2B5EF4-FFF2-40B4-BE49-F238E27FC236}">
                  <a16:creationId xmlns:a16="http://schemas.microsoft.com/office/drawing/2014/main" id="{95728A76-4324-CD0F-AD59-06E09C576B85}"/>
                </a:ext>
              </a:extLst>
            </xdr:cNvPr>
            <xdr:cNvSpPr txBox="1"/>
          </xdr:nvSpPr>
          <xdr:spPr>
            <a:xfrm>
              <a:off x="1127034" y="5979886"/>
              <a:ext cx="637739" cy="3325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fr-CH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fr-CH" sz="11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  <m:sup>
                      <m:f>
                        <m:fPr>
                          <m:ctrlPr>
                            <a:rPr lang="fr-CH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fr-CH" sz="1100" b="0" i="1">
                              <a:latin typeface="Cambria Math" panose="02040503050406030204" pitchFamily="18" charset="0"/>
                            </a:rPr>
                            <m:t>1</m:t>
                          </m:r>
                        </m:num>
                        <m:den>
                          <m:r>
                            <a:rPr lang="fr-CH" sz="11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den>
                      </m:f>
                    </m:sup>
                  </m:sSup>
                </m:oMath>
              </a14:m>
              <a:r>
                <a:rPr lang="de-DE" sz="1100"/>
                <a:t> [</a:t>
              </a:r>
              <a14:m>
                <m:oMath xmlns:m="http://schemas.openxmlformats.org/officeDocument/2006/math">
                  <m:sSup>
                    <m:sSupPr>
                      <m:ctrlPr>
                        <a:rPr lang="fr-CH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d>
                        <m:dPr>
                          <m:ctrlPr>
                            <a:rPr lang="fr-CH" sz="1100" b="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f>
                            <m:fPr>
                              <m:ctrlPr>
                                <a:rPr lang="fr-CH" sz="1100" b="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fr-CH" sz="1100" b="0" i="1">
                                  <a:latin typeface="Cambria Math" panose="02040503050406030204" pitchFamily="18" charset="0"/>
                                </a:rPr>
                                <m:t>𝑚𝑜𝑙</m:t>
                              </m:r>
                            </m:num>
                            <m:den>
                              <m:r>
                                <a:rPr lang="fr-CH" sz="1100" b="0" i="1">
                                  <a:latin typeface="Cambria Math" panose="02040503050406030204" pitchFamily="18" charset="0"/>
                                </a:rPr>
                                <m:t>𝐿</m:t>
                              </m:r>
                            </m:den>
                          </m:f>
                        </m:e>
                      </m:d>
                    </m:e>
                    <m:sup>
                      <m:f>
                        <m:fPr>
                          <m:ctrlPr>
                            <a:rPr lang="fr-CH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fr-CH" sz="1100" b="0" i="1">
                              <a:latin typeface="Cambria Math" panose="02040503050406030204" pitchFamily="18" charset="0"/>
                            </a:rPr>
                            <m:t>1</m:t>
                          </m:r>
                        </m:num>
                        <m:den>
                          <m:r>
                            <a:rPr lang="fr-CH" sz="11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den>
                      </m:f>
                    </m:sup>
                  </m:sSup>
                </m:oMath>
              </a14:m>
              <a:r>
                <a:rPr lang="de-DE" sz="1100"/>
                <a:t>]</a:t>
              </a:r>
            </a:p>
          </xdr:txBody>
        </xdr:sp>
      </mc:Choice>
      <mc:Fallback xmlns="">
        <xdr:sp macro="" textlink="">
          <xdr:nvSpPr>
            <xdr:cNvPr id="15" name="Textfeld 14">
              <a:extLst>
                <a:ext uri="{FF2B5EF4-FFF2-40B4-BE49-F238E27FC236}">
                  <a16:creationId xmlns:a16="http://schemas.microsoft.com/office/drawing/2014/main" id="{95728A76-4324-CD0F-AD59-06E09C576B85}"/>
                </a:ext>
              </a:extLst>
            </xdr:cNvPr>
            <xdr:cNvSpPr txBox="1"/>
          </xdr:nvSpPr>
          <xdr:spPr>
            <a:xfrm>
              <a:off x="1127034" y="5979886"/>
              <a:ext cx="637739" cy="3325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CH" sz="1100" b="0" i="0">
                  <a:latin typeface="Cambria Math" panose="02040503050406030204" pitchFamily="18" charset="0"/>
                </a:rPr>
                <a:t>𝑐^(1/2)</a:t>
              </a:r>
              <a:r>
                <a:rPr lang="de-DE" sz="1100"/>
                <a:t> [</a:t>
              </a:r>
              <a:r>
                <a:rPr lang="fr-CH" sz="1100" b="0" i="0">
                  <a:latin typeface="Cambria Math" panose="02040503050406030204" pitchFamily="18" charset="0"/>
                </a:rPr>
                <a:t>(𝑚𝑜𝑙/𝐿)^(1/2)</a:t>
              </a:r>
              <a:r>
                <a:rPr lang="de-DE" sz="1100"/>
                <a:t>]</a:t>
              </a:r>
            </a:p>
          </xdr:txBody>
        </xdr:sp>
      </mc:Fallback>
    </mc:AlternateContent>
    <xdr:clientData/>
  </xdr:oneCellAnchor>
  <xdr:twoCellAnchor>
    <xdr:from>
      <xdr:col>25</xdr:col>
      <xdr:colOff>1248767</xdr:colOff>
      <xdr:row>40</xdr:row>
      <xdr:rowOff>121921</xdr:rowOff>
    </xdr:from>
    <xdr:to>
      <xdr:col>30</xdr:col>
      <xdr:colOff>1577540</xdr:colOff>
      <xdr:row>54</xdr:row>
      <xdr:rowOff>7535</xdr:rowOff>
    </xdr:to>
    <xdr:graphicFrame macro="">
      <xdr:nvGraphicFramePr>
        <xdr:cNvPr id="24" name="Diagramm 23">
          <a:extLst>
            <a:ext uri="{FF2B5EF4-FFF2-40B4-BE49-F238E27FC236}">
              <a16:creationId xmlns:a16="http://schemas.microsoft.com/office/drawing/2014/main" id="{4A69E199-1430-9E02-50A8-2F3F45B9D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166165</xdr:colOff>
      <xdr:row>29</xdr:row>
      <xdr:rowOff>165002</xdr:rowOff>
    </xdr:from>
    <xdr:to>
      <xdr:col>9</xdr:col>
      <xdr:colOff>623805</xdr:colOff>
      <xdr:row>47</xdr:row>
      <xdr:rowOff>118140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E2E93B3-D6B6-535F-EF4B-E19C3055C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8025" y="5451746"/>
          <a:ext cx="4946943" cy="3408720"/>
        </a:xfrm>
        <a:prstGeom prst="rect">
          <a:avLst/>
        </a:prstGeom>
      </xdr:spPr>
    </xdr:pic>
    <xdr:clientData/>
  </xdr:twoCellAnchor>
  <xdr:twoCellAnchor editAs="oneCell">
    <xdr:from>
      <xdr:col>11</xdr:col>
      <xdr:colOff>72656</xdr:colOff>
      <xdr:row>28</xdr:row>
      <xdr:rowOff>126704</xdr:rowOff>
    </xdr:from>
    <xdr:to>
      <xdr:col>17</xdr:col>
      <xdr:colOff>7758</xdr:colOff>
      <xdr:row>55</xdr:row>
      <xdr:rowOff>101600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FCD0EA2E-4B77-22B9-43EC-35D2C84DD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6377" y="5236239"/>
          <a:ext cx="7189381" cy="5025361"/>
        </a:xfrm>
        <a:prstGeom prst="rect">
          <a:avLst/>
        </a:prstGeom>
      </xdr:spPr>
    </xdr:pic>
    <xdr:clientData/>
  </xdr:twoCellAnchor>
  <xdr:oneCellAnchor>
    <xdr:from>
      <xdr:col>3</xdr:col>
      <xdr:colOff>31750</xdr:colOff>
      <xdr:row>51</xdr:row>
      <xdr:rowOff>25400</xdr:rowOff>
    </xdr:from>
    <xdr:ext cx="112421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feld 1">
              <a:extLst>
                <a:ext uri="{FF2B5EF4-FFF2-40B4-BE49-F238E27FC236}">
                  <a16:creationId xmlns:a16="http://schemas.microsoft.com/office/drawing/2014/main" id="{B9D6A393-CA03-F551-1831-DB38BCD4A606}"/>
                </a:ext>
              </a:extLst>
            </xdr:cNvPr>
            <xdr:cNvSpPr txBox="1"/>
          </xdr:nvSpPr>
          <xdr:spPr>
            <a:xfrm>
              <a:off x="3956050" y="10045700"/>
              <a:ext cx="112421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CH" sz="1100" b="0"/>
                <a:t>0</a:t>
              </a:r>
              <a14:m>
                <m:oMath xmlns:m="http://schemas.openxmlformats.org/officeDocument/2006/math">
                  <m:r>
                    <a:rPr lang="fr-CH" sz="1100" b="0" i="1">
                      <a:latin typeface="Cambria Math" panose="02040503050406030204" pitchFamily="18" charset="0"/>
                    </a:rPr>
                    <m:t>,2121 </m:t>
                  </m:r>
                  <m:r>
                    <a:rPr lang="fr-CH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±0,0004</m:t>
                  </m:r>
                  <m:r>
                    <a:rPr lang="fr-CH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𝑉</m:t>
                  </m:r>
                </m:oMath>
              </a14:m>
              <a:endParaRPr lang="de-DE" sz="1100"/>
            </a:p>
          </xdr:txBody>
        </xdr:sp>
      </mc:Choice>
      <mc:Fallback xmlns="">
        <xdr:sp macro="" textlink="">
          <xdr:nvSpPr>
            <xdr:cNvPr id="2" name="Textfeld 1">
              <a:extLst>
                <a:ext uri="{FF2B5EF4-FFF2-40B4-BE49-F238E27FC236}">
                  <a16:creationId xmlns:a16="http://schemas.microsoft.com/office/drawing/2014/main" id="{B9D6A393-CA03-F551-1831-DB38BCD4A606}"/>
                </a:ext>
              </a:extLst>
            </xdr:cNvPr>
            <xdr:cNvSpPr txBox="1"/>
          </xdr:nvSpPr>
          <xdr:spPr>
            <a:xfrm>
              <a:off x="3956050" y="10045700"/>
              <a:ext cx="112421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CH" sz="1100" b="0"/>
                <a:t>0</a:t>
              </a:r>
              <a:r>
                <a:rPr lang="fr-CH" sz="1100" b="0" i="0">
                  <a:latin typeface="Cambria Math" panose="02040503050406030204" pitchFamily="18" charset="0"/>
                </a:rPr>
                <a:t>,2121 </a:t>
              </a:r>
              <a:r>
                <a:rPr lang="fr-CH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±0,0004𝑉</a:t>
              </a:r>
              <a:endParaRPr lang="de-DE" sz="1100"/>
            </a:p>
          </xdr:txBody>
        </xdr:sp>
      </mc:Fallback>
    </mc:AlternateContent>
    <xdr:clientData/>
  </xdr:oneCellAnchor>
  <xdr:oneCellAnchor>
    <xdr:from>
      <xdr:col>25</xdr:col>
      <xdr:colOff>126999</xdr:colOff>
      <xdr:row>55</xdr:row>
      <xdr:rowOff>42334</xdr:rowOff>
    </xdr:from>
    <xdr:ext cx="2650067" cy="172227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19B36ED5-931E-FE1D-841A-50B9593E4984}"/>
            </a:ext>
          </a:extLst>
        </xdr:cNvPr>
        <xdr:cNvSpPr txBox="1"/>
      </xdr:nvSpPr>
      <xdr:spPr>
        <a:xfrm>
          <a:off x="28795132" y="10625667"/>
          <a:ext cx="2650067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  <xdr:twoCellAnchor editAs="oneCell">
    <xdr:from>
      <xdr:col>18</xdr:col>
      <xdr:colOff>596900</xdr:colOff>
      <xdr:row>52</xdr:row>
      <xdr:rowOff>139700</xdr:rowOff>
    </xdr:from>
    <xdr:to>
      <xdr:col>22</xdr:col>
      <xdr:colOff>546100</xdr:colOff>
      <xdr:row>75</xdr:row>
      <xdr:rowOff>50800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AD21B61D-2E25-B28B-DD67-176FF4B40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10500" y="10350500"/>
          <a:ext cx="6299200" cy="4470400"/>
        </a:xfrm>
        <a:prstGeom prst="rect">
          <a:avLst/>
        </a:prstGeom>
      </xdr:spPr>
    </xdr:pic>
    <xdr:clientData/>
  </xdr:twoCellAnchor>
  <xdr:twoCellAnchor>
    <xdr:from>
      <xdr:col>4</xdr:col>
      <xdr:colOff>157480</xdr:colOff>
      <xdr:row>98</xdr:row>
      <xdr:rowOff>182880</xdr:rowOff>
    </xdr:from>
    <xdr:to>
      <xdr:col>11</xdr:col>
      <xdr:colOff>751840</xdr:colOff>
      <xdr:row>118</xdr:row>
      <xdr:rowOff>50800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9DFBC031-DE6F-B1ED-F1C4-5854A2D910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1990911</xdr:colOff>
      <xdr:row>89</xdr:row>
      <xdr:rowOff>19798</xdr:rowOff>
    </xdr:from>
    <xdr:to>
      <xdr:col>22</xdr:col>
      <xdr:colOff>1202764</xdr:colOff>
      <xdr:row>103</xdr:row>
      <xdr:rowOff>129616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BF21290A-FB0C-3205-C576-50DD69254B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AC691-7073-4F5A-8450-A905823785A3}">
  <dimension ref="B3:AP98"/>
  <sheetViews>
    <sheetView tabSelected="1" topLeftCell="D75" zoomScale="125" zoomScaleNormal="182" workbookViewId="0">
      <selection activeCell="H85" sqref="H85"/>
    </sheetView>
  </sheetViews>
  <sheetFormatPr baseColWidth="10" defaultRowHeight="15" x14ac:dyDescent="0.2"/>
  <cols>
    <col min="2" max="2" width="17.1640625" bestFit="1" customWidth="1"/>
    <col min="3" max="3" width="23.5" customWidth="1"/>
    <col min="4" max="4" width="16.1640625" customWidth="1"/>
    <col min="5" max="6" width="12.1640625" bestFit="1" customWidth="1"/>
    <col min="8" max="9" width="12.1640625" bestFit="1" customWidth="1"/>
    <col min="11" max="12" width="12.1640625" bestFit="1" customWidth="1"/>
    <col min="14" max="15" width="12.1640625" bestFit="1" customWidth="1"/>
    <col min="17" max="17" width="37.5" bestFit="1" customWidth="1"/>
    <col min="18" max="18" width="15.5" customWidth="1"/>
    <col min="19" max="19" width="13" customWidth="1"/>
    <col min="20" max="21" width="28.6640625" customWidth="1"/>
    <col min="22" max="22" width="13" customWidth="1"/>
    <col min="23" max="23" width="17" customWidth="1"/>
    <col min="24" max="24" width="10.83203125" customWidth="1"/>
    <col min="26" max="26" width="20.83203125" customWidth="1"/>
    <col min="27" max="27" width="18.33203125" customWidth="1"/>
    <col min="29" max="29" width="12.5" customWidth="1"/>
    <col min="31" max="31" width="22.5" customWidth="1"/>
    <col min="32" max="32" width="17.5" customWidth="1"/>
    <col min="36" max="36" width="21.5" customWidth="1"/>
    <col min="37" max="37" width="18.1640625" customWidth="1"/>
    <col min="41" max="41" width="21.83203125" customWidth="1"/>
    <col min="42" max="42" width="16.83203125" customWidth="1"/>
  </cols>
  <sheetData>
    <row r="3" spans="2:42" ht="16" thickBot="1" x14ac:dyDescent="0.25"/>
    <row r="4" spans="2:42" x14ac:dyDescent="0.2">
      <c r="B4" s="26" t="s">
        <v>0</v>
      </c>
      <c r="C4" s="2"/>
      <c r="E4" s="26" t="s">
        <v>6</v>
      </c>
      <c r="F4" s="10"/>
      <c r="G4" s="10"/>
      <c r="H4" s="10"/>
      <c r="I4" s="10"/>
      <c r="J4" s="10"/>
      <c r="K4" s="10"/>
      <c r="L4" s="10"/>
      <c r="M4" s="10"/>
      <c r="N4" s="10"/>
      <c r="O4" s="2"/>
      <c r="Q4" s="22" t="s">
        <v>2</v>
      </c>
      <c r="R4" s="40" t="s">
        <v>1</v>
      </c>
      <c r="S4" s="40" t="s">
        <v>26</v>
      </c>
      <c r="T4" s="40" t="s">
        <v>22</v>
      </c>
      <c r="U4" s="40" t="s">
        <v>21</v>
      </c>
      <c r="X4" s="47" t="s">
        <v>9</v>
      </c>
      <c r="Y4" s="47"/>
      <c r="Z4" s="47"/>
      <c r="AA4" s="47"/>
      <c r="AB4" s="41"/>
      <c r="AC4" s="50" t="s">
        <v>10</v>
      </c>
      <c r="AD4" s="51"/>
      <c r="AE4" s="51"/>
      <c r="AF4" s="52"/>
      <c r="AG4" s="41"/>
      <c r="AH4" s="50" t="s">
        <v>11</v>
      </c>
      <c r="AI4" s="51"/>
      <c r="AJ4" s="51"/>
      <c r="AK4" s="52"/>
      <c r="AL4" s="41"/>
      <c r="AM4" s="50" t="s">
        <v>12</v>
      </c>
      <c r="AN4" s="51"/>
      <c r="AO4" s="51"/>
      <c r="AP4" s="52"/>
    </row>
    <row r="5" spans="2:42" ht="16" thickBot="1" x14ac:dyDescent="0.25">
      <c r="B5" s="3"/>
      <c r="C5" s="4"/>
      <c r="E5" s="3"/>
      <c r="O5" s="4"/>
      <c r="Q5" s="22" t="s">
        <v>3</v>
      </c>
      <c r="R5" s="43">
        <f>5*10^-4</f>
        <v>5.0000000000000001E-4</v>
      </c>
      <c r="S5" s="44">
        <f>EXP((C33-C8)*$C$19/(2*$C$18*($C$15+273.15)))</f>
        <v>7.2304606343721184E-4</v>
      </c>
      <c r="T5" s="45">
        <f>S5/B8</f>
        <v>1.4460921268744236</v>
      </c>
      <c r="U5" s="43" t="s">
        <v>23</v>
      </c>
      <c r="X5" s="40" t="s">
        <v>7</v>
      </c>
      <c r="Y5" s="40" t="s">
        <v>13</v>
      </c>
      <c r="Z5" s="40" t="s">
        <v>30</v>
      </c>
      <c r="AA5" s="40" t="s">
        <v>31</v>
      </c>
      <c r="AB5" s="41"/>
      <c r="AC5" s="40" t="s">
        <v>7</v>
      </c>
      <c r="AD5" s="40" t="s">
        <v>13</v>
      </c>
      <c r="AE5" s="40" t="s">
        <v>30</v>
      </c>
      <c r="AF5" s="40" t="s">
        <v>31</v>
      </c>
      <c r="AG5" s="41"/>
      <c r="AH5" s="40" t="s">
        <v>7</v>
      </c>
      <c r="AI5" s="40" t="s">
        <v>13</v>
      </c>
      <c r="AJ5" s="40" t="s">
        <v>30</v>
      </c>
      <c r="AK5" s="40" t="s">
        <v>31</v>
      </c>
      <c r="AL5" s="41"/>
      <c r="AM5" s="40" t="s">
        <v>7</v>
      </c>
      <c r="AN5" s="40" t="s">
        <v>13</v>
      </c>
      <c r="AO5" s="40" t="s">
        <v>30</v>
      </c>
      <c r="AP5" s="40" t="s">
        <v>31</v>
      </c>
    </row>
    <row r="6" spans="2:42" ht="16" thickBot="1" x14ac:dyDescent="0.25">
      <c r="B6" s="25" t="s">
        <v>1</v>
      </c>
      <c r="C6" s="24" t="s">
        <v>8</v>
      </c>
      <c r="E6" s="48" t="s">
        <v>9</v>
      </c>
      <c r="F6" s="49"/>
      <c r="H6" s="48" t="s">
        <v>10</v>
      </c>
      <c r="I6" s="49"/>
      <c r="K6" s="48" t="s">
        <v>11</v>
      </c>
      <c r="L6" s="49"/>
      <c r="N6" s="48" t="s">
        <v>12</v>
      </c>
      <c r="O6" s="49"/>
      <c r="Q6" s="22" t="s">
        <v>4</v>
      </c>
      <c r="R6" s="43">
        <f>10^-3</f>
        <v>1E-3</v>
      </c>
      <c r="S6" s="44">
        <f t="shared" ref="S6:S10" si="0">EXP((C34-C9)*$C$19/(2*$C$18*($C$15+273.15)))</f>
        <v>1.3971142958070087E-3</v>
      </c>
      <c r="T6" s="45">
        <f t="shared" ref="T5:T10" si="1">S6/B9</f>
        <v>1.3971142958070086</v>
      </c>
      <c r="U6" s="43">
        <v>0.96599999999999997</v>
      </c>
      <c r="X6" s="53">
        <v>1.196</v>
      </c>
      <c r="Y6" s="53">
        <v>0</v>
      </c>
      <c r="Z6" s="43">
        <f t="shared" ref="Z6:Z9" si="2">-X6</f>
        <v>-1.196</v>
      </c>
      <c r="AA6" s="54">
        <f t="shared" ref="AA6:AA9" si="3">-2*$C$19*Z6</f>
        <v>230792.12</v>
      </c>
      <c r="AB6" s="41"/>
      <c r="AC6" s="53">
        <v>1.198</v>
      </c>
      <c r="AD6" s="53">
        <v>0</v>
      </c>
      <c r="AE6" s="43">
        <f t="shared" ref="AE6:AE9" si="4">AC6</f>
        <v>1.198</v>
      </c>
      <c r="AF6" s="54">
        <f t="shared" ref="AF6:AF9" si="5">-2*AE6*$C$19</f>
        <v>-231178.06</v>
      </c>
      <c r="AG6" s="41"/>
      <c r="AH6" s="53">
        <v>1.1930000000000001</v>
      </c>
      <c r="AI6" s="53">
        <v>0</v>
      </c>
      <c r="AJ6" s="43">
        <f t="shared" ref="AJ6:AJ10" si="6">-AH6</f>
        <v>-1.1930000000000001</v>
      </c>
      <c r="AK6" s="43">
        <f t="shared" ref="AK6:AK10" si="7">-2*AJ6*$C$19</f>
        <v>230213.21000000002</v>
      </c>
      <c r="AL6" s="41"/>
      <c r="AM6" s="53">
        <v>1.202</v>
      </c>
      <c r="AN6" s="53">
        <v>0</v>
      </c>
      <c r="AO6" s="43">
        <f t="shared" ref="AO6:AO10" si="8">-AM6</f>
        <v>-1.202</v>
      </c>
      <c r="AP6" s="43">
        <f t="shared" ref="AP6:AP10" si="9">-2*$C$19*AO6</f>
        <v>231949.94</v>
      </c>
    </row>
    <row r="7" spans="2:42" x14ac:dyDescent="0.2">
      <c r="B7" s="23"/>
      <c r="C7" s="6"/>
      <c r="E7" s="23" t="s">
        <v>7</v>
      </c>
      <c r="F7" s="20" t="s">
        <v>13</v>
      </c>
      <c r="H7" s="20" t="s">
        <v>7</v>
      </c>
      <c r="I7" s="20" t="s">
        <v>13</v>
      </c>
      <c r="K7" s="20" t="s">
        <v>7</v>
      </c>
      <c r="L7" s="20" t="s">
        <v>13</v>
      </c>
      <c r="N7" s="20" t="s">
        <v>7</v>
      </c>
      <c r="O7" s="21" t="s">
        <v>13</v>
      </c>
      <c r="Q7" s="22" t="s">
        <v>5</v>
      </c>
      <c r="R7" s="43">
        <f>5*10^-3</f>
        <v>5.0000000000000001E-3</v>
      </c>
      <c r="S7" s="44">
        <f t="shared" si="0"/>
        <v>5.6161907273218035E-3</v>
      </c>
      <c r="T7" s="45">
        <f t="shared" si="1"/>
        <v>1.1232381454643607</v>
      </c>
      <c r="U7" s="43">
        <v>0.92800000000000005</v>
      </c>
      <c r="X7" s="53">
        <v>1.2210000000000001</v>
      </c>
      <c r="Y7" s="53">
        <v>0</v>
      </c>
      <c r="Z7" s="43">
        <f t="shared" si="2"/>
        <v>-1.2210000000000001</v>
      </c>
      <c r="AA7" s="54">
        <f t="shared" si="3"/>
        <v>235616.37000000002</v>
      </c>
      <c r="AB7" s="41"/>
      <c r="AC7" s="53">
        <v>1.2170000000000001</v>
      </c>
      <c r="AD7" s="53">
        <v>0</v>
      </c>
      <c r="AE7" s="43">
        <f t="shared" si="4"/>
        <v>1.2170000000000001</v>
      </c>
      <c r="AF7" s="54">
        <f t="shared" si="5"/>
        <v>-234844.49000000002</v>
      </c>
      <c r="AG7" s="41"/>
      <c r="AH7" s="53">
        <v>1.216</v>
      </c>
      <c r="AI7" s="53">
        <v>0</v>
      </c>
      <c r="AJ7" s="43">
        <f t="shared" si="6"/>
        <v>-1.216</v>
      </c>
      <c r="AK7" s="43">
        <f t="shared" si="7"/>
        <v>234651.51999999999</v>
      </c>
      <c r="AL7" s="41"/>
      <c r="AM7" s="53">
        <v>1.22</v>
      </c>
      <c r="AN7" s="53">
        <v>0</v>
      </c>
      <c r="AO7" s="43">
        <f t="shared" si="8"/>
        <v>-1.22</v>
      </c>
      <c r="AP7" s="43">
        <f t="shared" si="9"/>
        <v>235423.4</v>
      </c>
    </row>
    <row r="8" spans="2:42" x14ac:dyDescent="0.2">
      <c r="B8" s="5">
        <f>5*10^-4</f>
        <v>5.0000000000000001E-4</v>
      </c>
      <c r="C8" s="7">
        <v>0.59919999999999995</v>
      </c>
      <c r="E8" s="11">
        <v>1.196</v>
      </c>
      <c r="F8" s="1">
        <v>0</v>
      </c>
      <c r="H8" s="1">
        <v>1.198</v>
      </c>
      <c r="I8" s="1">
        <v>0</v>
      </c>
      <c r="K8" s="1">
        <v>1.1930000000000001</v>
      </c>
      <c r="L8" s="1">
        <v>0</v>
      </c>
      <c r="N8" s="1">
        <v>1.202</v>
      </c>
      <c r="O8" s="12">
        <v>0</v>
      </c>
      <c r="R8" s="43">
        <f>10^-2</f>
        <v>0.01</v>
      </c>
      <c r="S8" s="44">
        <f t="shared" si="0"/>
        <v>1.0505859759124769E-2</v>
      </c>
      <c r="T8" s="45">
        <f t="shared" si="1"/>
        <v>1.0505859759124769</v>
      </c>
      <c r="U8" s="43">
        <v>0.90500000000000003</v>
      </c>
      <c r="X8" s="53">
        <v>1.236</v>
      </c>
      <c r="Y8" s="53">
        <v>0</v>
      </c>
      <c r="Z8" s="43">
        <f t="shared" si="2"/>
        <v>-1.236</v>
      </c>
      <c r="AA8" s="54">
        <f t="shared" si="3"/>
        <v>238510.91999999998</v>
      </c>
      <c r="AB8" s="41"/>
      <c r="AC8" s="53">
        <v>1.2390000000000001</v>
      </c>
      <c r="AD8" s="53">
        <v>0</v>
      </c>
      <c r="AE8" s="43">
        <f t="shared" si="4"/>
        <v>1.2390000000000001</v>
      </c>
      <c r="AF8" s="54">
        <f t="shared" si="5"/>
        <v>-239089.83000000002</v>
      </c>
      <c r="AG8" s="41"/>
      <c r="AH8" s="53">
        <v>1.242</v>
      </c>
      <c r="AI8" s="53">
        <v>0</v>
      </c>
      <c r="AJ8" s="43">
        <f t="shared" si="6"/>
        <v>-1.242</v>
      </c>
      <c r="AK8" s="43">
        <f t="shared" si="7"/>
        <v>239668.74</v>
      </c>
      <c r="AL8" s="41"/>
      <c r="AM8" s="53">
        <v>1.234</v>
      </c>
      <c r="AN8" s="53">
        <v>0</v>
      </c>
      <c r="AO8" s="43">
        <f t="shared" si="8"/>
        <v>-1.234</v>
      </c>
      <c r="AP8" s="43">
        <f t="shared" si="9"/>
        <v>238124.98</v>
      </c>
    </row>
    <row r="9" spans="2:42" x14ac:dyDescent="0.2">
      <c r="B9" s="5">
        <f>10^-3</f>
        <v>1E-3</v>
      </c>
      <c r="C9" s="7">
        <v>0.56459999999999999</v>
      </c>
      <c r="E9" s="13">
        <v>1.2210000000000001</v>
      </c>
      <c r="F9" s="14">
        <v>0</v>
      </c>
      <c r="H9" s="14">
        <v>1.2170000000000001</v>
      </c>
      <c r="I9" s="14">
        <v>0</v>
      </c>
      <c r="K9" s="14">
        <v>1.216</v>
      </c>
      <c r="L9" s="14">
        <v>0</v>
      </c>
      <c r="N9" s="14">
        <v>1.22</v>
      </c>
      <c r="O9" s="15">
        <v>0</v>
      </c>
      <c r="R9" s="43">
        <f>5*10^-2</f>
        <v>0.05</v>
      </c>
      <c r="S9" s="44">
        <f t="shared" si="0"/>
        <v>4.2231986558879386E-2</v>
      </c>
      <c r="T9" s="45">
        <f t="shared" si="1"/>
        <v>0.84463973117758773</v>
      </c>
      <c r="U9" s="43">
        <v>0.83</v>
      </c>
      <c r="X9" s="53">
        <v>1.2589999999999999</v>
      </c>
      <c r="Y9" s="53">
        <v>0</v>
      </c>
      <c r="Z9" s="43">
        <f t="shared" si="2"/>
        <v>-1.2589999999999999</v>
      </c>
      <c r="AA9" s="54">
        <f t="shared" si="3"/>
        <v>242949.22999999998</v>
      </c>
      <c r="AB9" s="41"/>
      <c r="AC9" s="53">
        <v>1.254</v>
      </c>
      <c r="AD9" s="53">
        <v>0</v>
      </c>
      <c r="AE9" s="43">
        <f t="shared" si="4"/>
        <v>1.254</v>
      </c>
      <c r="AF9" s="54">
        <f t="shared" si="5"/>
        <v>-241984.38</v>
      </c>
      <c r="AG9" s="41"/>
      <c r="AH9" s="53">
        <v>1.2549999999999999</v>
      </c>
      <c r="AI9" s="53">
        <v>0</v>
      </c>
      <c r="AJ9" s="43">
        <f t="shared" si="6"/>
        <v>-1.2549999999999999</v>
      </c>
      <c r="AK9" s="43">
        <f t="shared" si="7"/>
        <v>242177.34999999998</v>
      </c>
      <c r="AL9" s="41"/>
      <c r="AM9" s="53">
        <v>1.2549999999999999</v>
      </c>
      <c r="AN9" s="53">
        <v>0</v>
      </c>
      <c r="AO9" s="43">
        <f t="shared" si="8"/>
        <v>-1.2549999999999999</v>
      </c>
      <c r="AP9" s="43">
        <f t="shared" si="9"/>
        <v>242177.34999999998</v>
      </c>
    </row>
    <row r="10" spans="2:42" x14ac:dyDescent="0.2">
      <c r="B10" s="5">
        <f>5*10^-3</f>
        <v>5.0000000000000001E-3</v>
      </c>
      <c r="C10" s="7">
        <v>0.48859999999999998</v>
      </c>
      <c r="E10" s="13">
        <v>1.236</v>
      </c>
      <c r="F10" s="14">
        <v>0</v>
      </c>
      <c r="H10" s="14">
        <v>1.2390000000000001</v>
      </c>
      <c r="I10" s="14">
        <v>0</v>
      </c>
      <c r="K10" s="14">
        <v>1.242</v>
      </c>
      <c r="L10" s="14">
        <v>0</v>
      </c>
      <c r="N10" s="14">
        <v>1.234</v>
      </c>
      <c r="O10" s="15">
        <v>0</v>
      </c>
      <c r="R10" s="43">
        <v>1</v>
      </c>
      <c r="S10" s="44">
        <f t="shared" si="0"/>
        <v>0.78521711089729163</v>
      </c>
      <c r="T10" s="45">
        <f t="shared" si="1"/>
        <v>0.78521711089729163</v>
      </c>
      <c r="U10" s="43">
        <v>0.80900000000000005</v>
      </c>
      <c r="X10" s="53">
        <v>1.2809999999999999</v>
      </c>
      <c r="Y10" s="53">
        <v>30</v>
      </c>
      <c r="Z10" s="43">
        <f>-X10</f>
        <v>-1.2809999999999999</v>
      </c>
      <c r="AA10" s="54">
        <f>-2*$C$19*Z10</f>
        <v>247194.56999999998</v>
      </c>
      <c r="AB10" s="41"/>
      <c r="AC10" s="53">
        <v>1.28</v>
      </c>
      <c r="AD10" s="53">
        <v>10</v>
      </c>
      <c r="AE10" s="43">
        <f>AC10</f>
        <v>1.28</v>
      </c>
      <c r="AF10" s="54">
        <f>-2*AE10*$C$19</f>
        <v>-247001.60000000001</v>
      </c>
      <c r="AG10" s="41"/>
      <c r="AH10" s="53">
        <v>1.2749999999999999</v>
      </c>
      <c r="AI10" s="53">
        <v>0</v>
      </c>
      <c r="AJ10" s="43">
        <f t="shared" si="6"/>
        <v>-1.2749999999999999</v>
      </c>
      <c r="AK10" s="43">
        <f t="shared" si="7"/>
        <v>246036.74999999997</v>
      </c>
      <c r="AL10" s="41"/>
      <c r="AM10" s="53">
        <v>1.28</v>
      </c>
      <c r="AN10" s="53">
        <v>0</v>
      </c>
      <c r="AO10" s="43">
        <f t="shared" si="8"/>
        <v>-1.28</v>
      </c>
      <c r="AP10" s="43">
        <f t="shared" si="9"/>
        <v>247001.60000000001</v>
      </c>
    </row>
    <row r="11" spans="2:42" x14ac:dyDescent="0.2">
      <c r="B11" s="5">
        <f>10^-2</f>
        <v>0.01</v>
      </c>
      <c r="C11" s="7">
        <v>0.45500000000000002</v>
      </c>
      <c r="E11" s="13">
        <v>1.2589999999999999</v>
      </c>
      <c r="F11" s="14">
        <v>0</v>
      </c>
      <c r="H11" s="14">
        <v>1.254</v>
      </c>
      <c r="I11" s="14">
        <v>0</v>
      </c>
      <c r="K11" s="14">
        <v>1.2549999999999999</v>
      </c>
      <c r="L11" s="14">
        <v>0</v>
      </c>
      <c r="N11" s="14">
        <v>1.2549999999999999</v>
      </c>
      <c r="O11" s="15">
        <v>0</v>
      </c>
      <c r="X11" s="53">
        <v>1.296</v>
      </c>
      <c r="Y11" s="53">
        <v>60</v>
      </c>
      <c r="Z11" s="43">
        <f t="shared" ref="Z11:Z24" si="10">-X11</f>
        <v>-1.296</v>
      </c>
      <c r="AA11" s="54">
        <f t="shared" ref="AA11:AA24" si="11">-2*$C$19*Z11</f>
        <v>250089.12</v>
      </c>
      <c r="AB11" s="41"/>
      <c r="AC11" s="53">
        <v>1.3</v>
      </c>
      <c r="AD11" s="53">
        <v>20</v>
      </c>
      <c r="AE11" s="43">
        <f t="shared" ref="AE11:AE24" si="12">-AC11</f>
        <v>-1.3</v>
      </c>
      <c r="AF11" s="54">
        <f t="shared" ref="AF11:AF24" si="13">-2*AE11*$C$19</f>
        <v>250861</v>
      </c>
      <c r="AG11" s="41"/>
      <c r="AH11" s="53">
        <v>1.2969999999999999</v>
      </c>
      <c r="AI11" s="53">
        <v>10</v>
      </c>
      <c r="AJ11" s="43">
        <f>-AH11</f>
        <v>-1.2969999999999999</v>
      </c>
      <c r="AK11" s="43">
        <f>-2*AJ11*$C$19</f>
        <v>250282.09</v>
      </c>
      <c r="AL11" s="41"/>
      <c r="AM11" s="53">
        <v>1.298</v>
      </c>
      <c r="AN11" s="53">
        <v>20</v>
      </c>
      <c r="AO11" s="43">
        <f>-AM11</f>
        <v>-1.298</v>
      </c>
      <c r="AP11" s="43">
        <f>-2*$C$19*AO11</f>
        <v>250475.06</v>
      </c>
    </row>
    <row r="12" spans="2:42" x14ac:dyDescent="0.2">
      <c r="B12" s="5">
        <f>5*10^-2</f>
        <v>0.05</v>
      </c>
      <c r="C12" s="7">
        <v>0.37819999999999998</v>
      </c>
      <c r="E12" s="13">
        <v>1.2809999999999999</v>
      </c>
      <c r="F12" s="14">
        <v>30</v>
      </c>
      <c r="H12" s="14">
        <v>1.28</v>
      </c>
      <c r="I12" s="14">
        <v>10</v>
      </c>
      <c r="K12" s="14">
        <v>1.2749999999999999</v>
      </c>
      <c r="L12" s="14">
        <v>0</v>
      </c>
      <c r="N12" s="14">
        <v>1.28</v>
      </c>
      <c r="O12" s="15">
        <v>0</v>
      </c>
      <c r="X12" s="53">
        <v>1.3129999999999999</v>
      </c>
      <c r="Y12" s="53">
        <v>130</v>
      </c>
      <c r="Z12" s="43">
        <f t="shared" si="10"/>
        <v>-1.3129999999999999</v>
      </c>
      <c r="AA12" s="54">
        <f t="shared" si="11"/>
        <v>253369.61</v>
      </c>
      <c r="AB12" s="41"/>
      <c r="AC12" s="53">
        <v>1.3129999999999999</v>
      </c>
      <c r="AD12" s="53">
        <v>50</v>
      </c>
      <c r="AE12" s="43">
        <f t="shared" si="12"/>
        <v>-1.3129999999999999</v>
      </c>
      <c r="AF12" s="54">
        <f t="shared" si="13"/>
        <v>253369.61</v>
      </c>
      <c r="AG12" s="41"/>
      <c r="AH12" s="53">
        <v>1.321</v>
      </c>
      <c r="AI12" s="53">
        <v>40</v>
      </c>
      <c r="AJ12" s="43">
        <f t="shared" ref="AJ12:AJ24" si="14">-AH12</f>
        <v>-1.321</v>
      </c>
      <c r="AK12" s="43">
        <f t="shared" ref="AK12:AK24" si="15">-2*AJ12*$C$19</f>
        <v>254913.37</v>
      </c>
      <c r="AL12" s="41"/>
      <c r="AM12" s="53">
        <v>1.3129999999999999</v>
      </c>
      <c r="AN12" s="53">
        <v>40</v>
      </c>
      <c r="AO12" s="43">
        <f t="shared" ref="AO12:AO24" si="16">-AM12</f>
        <v>-1.3129999999999999</v>
      </c>
      <c r="AP12" s="43">
        <f t="shared" ref="AP12:AP24" si="17">-2*$C$19*AO12</f>
        <v>253369.61</v>
      </c>
    </row>
    <row r="13" spans="2:42" ht="16" thickBot="1" x14ac:dyDescent="0.25">
      <c r="B13" s="8">
        <v>1</v>
      </c>
      <c r="C13" s="9">
        <v>0.2276</v>
      </c>
      <c r="E13" s="13">
        <v>1.296</v>
      </c>
      <c r="F13" s="14">
        <v>60</v>
      </c>
      <c r="H13" s="14">
        <v>1.3</v>
      </c>
      <c r="I13" s="14">
        <v>20</v>
      </c>
      <c r="K13" s="14">
        <v>1.2969999999999999</v>
      </c>
      <c r="L13" s="14">
        <v>10</v>
      </c>
      <c r="N13" s="14">
        <v>1.298</v>
      </c>
      <c r="O13" s="15">
        <v>20</v>
      </c>
      <c r="X13" s="53">
        <v>1.3380000000000001</v>
      </c>
      <c r="Y13" s="53">
        <v>270</v>
      </c>
      <c r="Z13" s="43">
        <f t="shared" si="10"/>
        <v>-1.3380000000000001</v>
      </c>
      <c r="AA13" s="54">
        <f t="shared" si="11"/>
        <v>258193.86000000002</v>
      </c>
      <c r="AB13" s="41"/>
      <c r="AC13" s="53">
        <v>1.3380000000000001</v>
      </c>
      <c r="AD13" s="53">
        <v>140</v>
      </c>
      <c r="AE13" s="43">
        <f t="shared" si="12"/>
        <v>-1.3380000000000001</v>
      </c>
      <c r="AF13" s="54">
        <f t="shared" si="13"/>
        <v>258193.86000000002</v>
      </c>
      <c r="AG13" s="41"/>
      <c r="AH13" s="53">
        <v>1.339</v>
      </c>
      <c r="AI13" s="53">
        <v>90</v>
      </c>
      <c r="AJ13" s="43">
        <f t="shared" si="14"/>
        <v>-1.339</v>
      </c>
      <c r="AK13" s="43">
        <f t="shared" si="15"/>
        <v>258386.83</v>
      </c>
      <c r="AL13" s="41"/>
      <c r="AM13" s="53">
        <v>1.3380000000000001</v>
      </c>
      <c r="AN13" s="53">
        <v>130</v>
      </c>
      <c r="AO13" s="43">
        <f t="shared" si="16"/>
        <v>-1.3380000000000001</v>
      </c>
      <c r="AP13" s="43">
        <f t="shared" si="17"/>
        <v>258193.86000000002</v>
      </c>
    </row>
    <row r="14" spans="2:42" x14ac:dyDescent="0.2">
      <c r="E14" s="13">
        <v>1.3129999999999999</v>
      </c>
      <c r="F14" s="14">
        <v>130</v>
      </c>
      <c r="H14" s="14">
        <v>1.3129999999999999</v>
      </c>
      <c r="I14" s="14">
        <v>50</v>
      </c>
      <c r="K14" s="14">
        <v>1.321</v>
      </c>
      <c r="L14" s="14">
        <v>40</v>
      </c>
      <c r="N14" s="14">
        <v>1.3129999999999999</v>
      </c>
      <c r="O14" s="15">
        <v>40</v>
      </c>
      <c r="X14" s="53">
        <v>1.355</v>
      </c>
      <c r="Y14" s="53">
        <v>400</v>
      </c>
      <c r="Z14" s="43">
        <f t="shared" si="10"/>
        <v>-1.355</v>
      </c>
      <c r="AA14" s="54">
        <f t="shared" si="11"/>
        <v>261474.35</v>
      </c>
      <c r="AB14" s="41"/>
      <c r="AC14" s="53">
        <v>1.355</v>
      </c>
      <c r="AD14" s="53">
        <v>250</v>
      </c>
      <c r="AE14" s="43">
        <f t="shared" si="12"/>
        <v>-1.355</v>
      </c>
      <c r="AF14" s="54">
        <f t="shared" si="13"/>
        <v>261474.35</v>
      </c>
      <c r="AG14" s="41"/>
      <c r="AH14" s="53">
        <v>1.357</v>
      </c>
      <c r="AI14" s="53">
        <v>200</v>
      </c>
      <c r="AJ14" s="43">
        <f t="shared" si="14"/>
        <v>-1.357</v>
      </c>
      <c r="AK14" s="43">
        <f t="shared" si="15"/>
        <v>261860.29</v>
      </c>
      <c r="AL14" s="41"/>
      <c r="AM14" s="53">
        <v>1.3520000000000001</v>
      </c>
      <c r="AN14" s="53">
        <v>220</v>
      </c>
      <c r="AO14" s="43">
        <f t="shared" si="16"/>
        <v>-1.3520000000000001</v>
      </c>
      <c r="AP14" s="43">
        <f t="shared" si="17"/>
        <v>260895.44000000003</v>
      </c>
    </row>
    <row r="15" spans="2:42" x14ac:dyDescent="0.2">
      <c r="B15" s="27" t="s">
        <v>14</v>
      </c>
      <c r="C15" s="28">
        <v>25</v>
      </c>
      <c r="E15" s="13">
        <v>1.3380000000000001</v>
      </c>
      <c r="F15" s="14">
        <v>270</v>
      </c>
      <c r="H15" s="14">
        <v>1.3380000000000001</v>
      </c>
      <c r="I15" s="14">
        <v>140</v>
      </c>
      <c r="K15" s="14">
        <v>1.339</v>
      </c>
      <c r="L15" s="14">
        <v>90</v>
      </c>
      <c r="N15" s="14">
        <v>1.3380000000000001</v>
      </c>
      <c r="O15" s="15">
        <v>130</v>
      </c>
      <c r="X15" s="53">
        <v>1.3759999999999999</v>
      </c>
      <c r="Y15" s="53">
        <v>610</v>
      </c>
      <c r="Z15" s="43">
        <f t="shared" si="10"/>
        <v>-1.3759999999999999</v>
      </c>
      <c r="AA15" s="54">
        <f t="shared" si="11"/>
        <v>265526.71999999997</v>
      </c>
      <c r="AB15" s="41"/>
      <c r="AC15" s="53">
        <v>1.3759999999999999</v>
      </c>
      <c r="AD15" s="53">
        <v>440</v>
      </c>
      <c r="AE15" s="43">
        <f t="shared" si="12"/>
        <v>-1.3759999999999999</v>
      </c>
      <c r="AF15" s="54">
        <f t="shared" si="13"/>
        <v>265526.71999999997</v>
      </c>
      <c r="AG15" s="41"/>
      <c r="AH15" s="53">
        <v>1.369</v>
      </c>
      <c r="AI15" s="53">
        <v>280</v>
      </c>
      <c r="AJ15" s="43">
        <f t="shared" si="14"/>
        <v>-1.369</v>
      </c>
      <c r="AK15" s="43">
        <f t="shared" si="15"/>
        <v>264175.93</v>
      </c>
      <c r="AL15" s="41"/>
      <c r="AM15" s="53">
        <v>1.375</v>
      </c>
      <c r="AN15" s="53">
        <v>420</v>
      </c>
      <c r="AO15" s="43">
        <f t="shared" si="16"/>
        <v>-1.375</v>
      </c>
      <c r="AP15" s="43">
        <f t="shared" si="17"/>
        <v>265333.75</v>
      </c>
    </row>
    <row r="16" spans="2:42" x14ac:dyDescent="0.2">
      <c r="B16" s="29"/>
      <c r="C16" s="30"/>
      <c r="E16" s="13">
        <v>1.355</v>
      </c>
      <c r="F16" s="14">
        <v>400</v>
      </c>
      <c r="H16" s="14">
        <v>1.355</v>
      </c>
      <c r="I16" s="14">
        <v>250</v>
      </c>
      <c r="K16" s="14">
        <v>1.357</v>
      </c>
      <c r="L16" s="14">
        <v>200</v>
      </c>
      <c r="N16" s="14">
        <v>1.3520000000000001</v>
      </c>
      <c r="O16" s="15">
        <v>220</v>
      </c>
      <c r="X16" s="53">
        <v>1.397</v>
      </c>
      <c r="Y16" s="53">
        <v>870</v>
      </c>
      <c r="Z16" s="43">
        <f t="shared" si="10"/>
        <v>-1.397</v>
      </c>
      <c r="AA16" s="54">
        <f t="shared" si="11"/>
        <v>269579.09000000003</v>
      </c>
      <c r="AB16" s="41"/>
      <c r="AC16" s="53">
        <v>1.397</v>
      </c>
      <c r="AD16" s="53">
        <v>670</v>
      </c>
      <c r="AE16" s="43">
        <f t="shared" si="12"/>
        <v>-1.397</v>
      </c>
      <c r="AF16" s="54">
        <f t="shared" si="13"/>
        <v>269579.09000000003</v>
      </c>
      <c r="AG16" s="41"/>
      <c r="AH16" s="53">
        <v>1.373</v>
      </c>
      <c r="AI16" s="53">
        <v>290</v>
      </c>
      <c r="AJ16" s="43">
        <f t="shared" si="14"/>
        <v>-1.373</v>
      </c>
      <c r="AK16" s="43">
        <f t="shared" si="15"/>
        <v>264947.81</v>
      </c>
      <c r="AL16" s="41"/>
      <c r="AM16" s="53">
        <v>1.397</v>
      </c>
      <c r="AN16" s="53">
        <v>700</v>
      </c>
      <c r="AO16" s="43">
        <f t="shared" si="16"/>
        <v>-1.397</v>
      </c>
      <c r="AP16" s="43">
        <f t="shared" si="17"/>
        <v>269579.09000000003</v>
      </c>
    </row>
    <row r="17" spans="2:42" x14ac:dyDescent="0.2">
      <c r="B17" s="29" t="s">
        <v>15</v>
      </c>
      <c r="C17" s="30">
        <f>C15+273.15</f>
        <v>298.14999999999998</v>
      </c>
      <c r="E17" s="13">
        <v>1.3759999999999999</v>
      </c>
      <c r="F17" s="14">
        <v>610</v>
      </c>
      <c r="H17" s="14">
        <v>1.3759999999999999</v>
      </c>
      <c r="I17" s="14">
        <v>440</v>
      </c>
      <c r="K17" s="14">
        <v>1.369</v>
      </c>
      <c r="L17" s="14">
        <v>280</v>
      </c>
      <c r="N17" s="14">
        <v>1.375</v>
      </c>
      <c r="O17" s="15">
        <v>420</v>
      </c>
      <c r="X17" s="53">
        <v>1.4139999999999999</v>
      </c>
      <c r="Y17" s="53">
        <v>1090</v>
      </c>
      <c r="Z17" s="43">
        <f t="shared" si="10"/>
        <v>-1.4139999999999999</v>
      </c>
      <c r="AA17" s="54">
        <f t="shared" si="11"/>
        <v>272859.57999999996</v>
      </c>
      <c r="AB17" s="41"/>
      <c r="AC17" s="53">
        <v>1.4159999999999999</v>
      </c>
      <c r="AD17" s="53">
        <v>900</v>
      </c>
      <c r="AE17" s="43">
        <f t="shared" si="12"/>
        <v>-1.4159999999999999</v>
      </c>
      <c r="AF17" s="54">
        <f t="shared" si="13"/>
        <v>273245.51999999996</v>
      </c>
      <c r="AG17" s="41"/>
      <c r="AH17" s="53">
        <v>1.3979999999999999</v>
      </c>
      <c r="AI17" s="53">
        <v>550</v>
      </c>
      <c r="AJ17" s="43">
        <f t="shared" si="14"/>
        <v>-1.3979999999999999</v>
      </c>
      <c r="AK17" s="43">
        <f t="shared" si="15"/>
        <v>269772.06</v>
      </c>
      <c r="AL17" s="41"/>
      <c r="AM17" s="53">
        <v>1.415</v>
      </c>
      <c r="AN17" s="53">
        <v>930</v>
      </c>
      <c r="AO17" s="43">
        <f t="shared" si="16"/>
        <v>-1.415</v>
      </c>
      <c r="AP17" s="43">
        <f t="shared" si="17"/>
        <v>273052.55</v>
      </c>
    </row>
    <row r="18" spans="2:42" x14ac:dyDescent="0.2">
      <c r="B18" s="29" t="s">
        <v>16</v>
      </c>
      <c r="C18" s="30">
        <v>8.3140000000000001</v>
      </c>
      <c r="E18" s="13">
        <v>1.397</v>
      </c>
      <c r="F18" s="14">
        <v>870</v>
      </c>
      <c r="H18" s="14">
        <v>1.397</v>
      </c>
      <c r="I18" s="14">
        <v>670</v>
      </c>
      <c r="K18" s="14">
        <v>1.373</v>
      </c>
      <c r="L18" s="14">
        <v>290</v>
      </c>
      <c r="N18" s="14">
        <v>1.397</v>
      </c>
      <c r="O18" s="15">
        <v>700</v>
      </c>
      <c r="X18" s="53">
        <v>1.431</v>
      </c>
      <c r="Y18" s="53">
        <v>1360</v>
      </c>
      <c r="Z18" s="43">
        <f t="shared" si="10"/>
        <v>-1.431</v>
      </c>
      <c r="AA18" s="54">
        <f t="shared" si="11"/>
        <v>276140.07</v>
      </c>
      <c r="AB18" s="41"/>
      <c r="AC18" s="53">
        <v>1.4339999999999999</v>
      </c>
      <c r="AD18" s="53">
        <v>1130</v>
      </c>
      <c r="AE18" s="43">
        <f t="shared" si="12"/>
        <v>-1.4339999999999999</v>
      </c>
      <c r="AF18" s="54">
        <f t="shared" si="13"/>
        <v>276718.98</v>
      </c>
      <c r="AG18" s="41"/>
      <c r="AH18" s="53">
        <v>1.4119999999999999</v>
      </c>
      <c r="AI18" s="53">
        <v>720</v>
      </c>
      <c r="AJ18" s="43">
        <f t="shared" si="14"/>
        <v>-1.4119999999999999</v>
      </c>
      <c r="AK18" s="43">
        <f t="shared" si="15"/>
        <v>272473.64</v>
      </c>
      <c r="AL18" s="41"/>
      <c r="AM18" s="53">
        <v>1.431</v>
      </c>
      <c r="AN18" s="53">
        <v>1200</v>
      </c>
      <c r="AO18" s="43">
        <f t="shared" si="16"/>
        <v>-1.431</v>
      </c>
      <c r="AP18" s="43">
        <f t="shared" si="17"/>
        <v>276140.07</v>
      </c>
    </row>
    <row r="19" spans="2:42" x14ac:dyDescent="0.2">
      <c r="B19" s="31" t="s">
        <v>17</v>
      </c>
      <c r="C19" s="32">
        <v>96485</v>
      </c>
      <c r="E19" s="13">
        <v>1.4139999999999999</v>
      </c>
      <c r="F19" s="14">
        <v>1090</v>
      </c>
      <c r="H19" s="14">
        <v>1.4159999999999999</v>
      </c>
      <c r="I19" s="14">
        <v>900</v>
      </c>
      <c r="K19" s="14">
        <v>1.3979999999999999</v>
      </c>
      <c r="L19" s="14">
        <v>550</v>
      </c>
      <c r="N19" s="14">
        <v>1.415</v>
      </c>
      <c r="O19" s="15">
        <v>930</v>
      </c>
      <c r="X19" s="53">
        <v>1.45</v>
      </c>
      <c r="Y19" s="53">
        <v>1700</v>
      </c>
      <c r="Z19" s="43">
        <f t="shared" si="10"/>
        <v>-1.45</v>
      </c>
      <c r="AA19" s="54">
        <f t="shared" si="11"/>
        <v>279806.5</v>
      </c>
      <c r="AB19" s="41"/>
      <c r="AC19" s="53">
        <v>1.454</v>
      </c>
      <c r="AD19" s="53">
        <v>1440</v>
      </c>
      <c r="AE19" s="43">
        <f t="shared" si="12"/>
        <v>-1.454</v>
      </c>
      <c r="AF19" s="54">
        <f t="shared" si="13"/>
        <v>280578.38</v>
      </c>
      <c r="AG19" s="41"/>
      <c r="AH19" s="53">
        <v>1.43</v>
      </c>
      <c r="AI19" s="53">
        <v>1000</v>
      </c>
      <c r="AJ19" s="43">
        <f t="shared" si="14"/>
        <v>-1.43</v>
      </c>
      <c r="AK19" s="43">
        <f t="shared" si="15"/>
        <v>275947.09999999998</v>
      </c>
      <c r="AL19" s="41"/>
      <c r="AM19" s="53">
        <v>1.4550000000000001</v>
      </c>
      <c r="AN19" s="53">
        <v>1700</v>
      </c>
      <c r="AO19" s="43">
        <f t="shared" si="16"/>
        <v>-1.4550000000000001</v>
      </c>
      <c r="AP19" s="43">
        <f t="shared" si="17"/>
        <v>280771.35000000003</v>
      </c>
    </row>
    <row r="20" spans="2:42" x14ac:dyDescent="0.2">
      <c r="E20" s="13">
        <v>1.431</v>
      </c>
      <c r="F20" s="14">
        <v>1360</v>
      </c>
      <c r="H20" s="14">
        <v>1.4339999999999999</v>
      </c>
      <c r="I20" s="14">
        <v>1130</v>
      </c>
      <c r="K20" s="14">
        <v>1.4119999999999999</v>
      </c>
      <c r="L20" s="14">
        <v>720</v>
      </c>
      <c r="N20" s="14">
        <v>1.431</v>
      </c>
      <c r="O20" s="15">
        <v>1200</v>
      </c>
      <c r="X20" s="53">
        <v>1.47</v>
      </c>
      <c r="Y20" s="53">
        <v>2060</v>
      </c>
      <c r="Z20" s="43">
        <f t="shared" si="10"/>
        <v>-1.47</v>
      </c>
      <c r="AA20" s="54">
        <f t="shared" si="11"/>
        <v>283665.90000000002</v>
      </c>
      <c r="AB20" s="41"/>
      <c r="AC20" s="53">
        <v>1.472</v>
      </c>
      <c r="AD20" s="53">
        <v>1690</v>
      </c>
      <c r="AE20" s="43">
        <f t="shared" si="12"/>
        <v>-1.472</v>
      </c>
      <c r="AF20" s="54">
        <f t="shared" si="13"/>
        <v>284051.83999999997</v>
      </c>
      <c r="AG20" s="41"/>
      <c r="AH20" s="53">
        <v>1.4550000000000001</v>
      </c>
      <c r="AI20" s="53">
        <v>1360</v>
      </c>
      <c r="AJ20" s="43">
        <f t="shared" si="14"/>
        <v>-1.4550000000000001</v>
      </c>
      <c r="AK20" s="43">
        <f t="shared" si="15"/>
        <v>280771.35000000003</v>
      </c>
      <c r="AL20" s="41"/>
      <c r="AM20" s="53">
        <v>1.474</v>
      </c>
      <c r="AN20" s="53">
        <v>2080</v>
      </c>
      <c r="AO20" s="43">
        <f t="shared" si="16"/>
        <v>-1.474</v>
      </c>
      <c r="AP20" s="43">
        <f t="shared" si="17"/>
        <v>284437.77999999997</v>
      </c>
    </row>
    <row r="21" spans="2:42" x14ac:dyDescent="0.2">
      <c r="E21" s="13">
        <v>1.45</v>
      </c>
      <c r="F21" s="14">
        <v>1700</v>
      </c>
      <c r="H21" s="14">
        <v>1.454</v>
      </c>
      <c r="I21" s="14">
        <v>1440</v>
      </c>
      <c r="K21" s="14">
        <v>1.43</v>
      </c>
      <c r="L21" s="14">
        <v>1000</v>
      </c>
      <c r="N21" s="14">
        <v>1.4550000000000001</v>
      </c>
      <c r="O21" s="15">
        <v>1700</v>
      </c>
      <c r="X21" s="53">
        <v>1.4930000000000001</v>
      </c>
      <c r="Y21" s="53">
        <v>2440</v>
      </c>
      <c r="Z21" s="43">
        <f t="shared" si="10"/>
        <v>-1.4930000000000001</v>
      </c>
      <c r="AA21" s="54">
        <f t="shared" si="11"/>
        <v>288104.21000000002</v>
      </c>
      <c r="AB21" s="41"/>
      <c r="AC21" s="53">
        <v>1.496</v>
      </c>
      <c r="AD21" s="53">
        <v>2090</v>
      </c>
      <c r="AE21" s="43">
        <f t="shared" si="12"/>
        <v>-1.496</v>
      </c>
      <c r="AF21" s="54">
        <f t="shared" si="13"/>
        <v>288683.12</v>
      </c>
      <c r="AG21" s="41"/>
      <c r="AH21" s="53">
        <v>1.4710000000000001</v>
      </c>
      <c r="AI21" s="53">
        <v>1670</v>
      </c>
      <c r="AJ21" s="43">
        <f t="shared" si="14"/>
        <v>-1.4710000000000001</v>
      </c>
      <c r="AK21" s="43">
        <f t="shared" si="15"/>
        <v>283858.87</v>
      </c>
      <c r="AL21" s="41"/>
      <c r="AM21" s="53">
        <v>1.4890000000000001</v>
      </c>
      <c r="AN21" s="53">
        <v>2400</v>
      </c>
      <c r="AO21" s="43">
        <f t="shared" si="16"/>
        <v>-1.4890000000000001</v>
      </c>
      <c r="AP21" s="43">
        <f t="shared" si="17"/>
        <v>287332.33</v>
      </c>
    </row>
    <row r="22" spans="2:42" x14ac:dyDescent="0.2">
      <c r="E22" s="13">
        <v>1.47</v>
      </c>
      <c r="F22" s="14">
        <v>2060</v>
      </c>
      <c r="H22" s="14">
        <v>1.472</v>
      </c>
      <c r="I22" s="14">
        <v>1690</v>
      </c>
      <c r="K22" s="14">
        <v>1.4550000000000001</v>
      </c>
      <c r="L22" s="14">
        <v>1360</v>
      </c>
      <c r="N22" s="14">
        <v>1.474</v>
      </c>
      <c r="O22" s="15">
        <v>2080</v>
      </c>
      <c r="X22" s="53">
        <v>1.506</v>
      </c>
      <c r="Y22" s="53">
        <v>2630</v>
      </c>
      <c r="Z22" s="43">
        <f t="shared" si="10"/>
        <v>-1.506</v>
      </c>
      <c r="AA22" s="54">
        <f t="shared" si="11"/>
        <v>290612.82</v>
      </c>
      <c r="AB22" s="41"/>
      <c r="AC22" s="53">
        <v>1.5129999999999999</v>
      </c>
      <c r="AD22" s="53">
        <v>2350</v>
      </c>
      <c r="AE22" s="43">
        <f t="shared" si="12"/>
        <v>-1.5129999999999999</v>
      </c>
      <c r="AF22" s="54">
        <f t="shared" si="13"/>
        <v>291963.61</v>
      </c>
      <c r="AG22" s="41"/>
      <c r="AH22" s="53">
        <v>1.488</v>
      </c>
      <c r="AI22" s="53">
        <v>2020</v>
      </c>
      <c r="AJ22" s="43">
        <f t="shared" si="14"/>
        <v>-1.488</v>
      </c>
      <c r="AK22" s="43">
        <f t="shared" si="15"/>
        <v>287139.36</v>
      </c>
      <c r="AL22" s="41"/>
      <c r="AM22" s="53">
        <v>1.5149999999999999</v>
      </c>
      <c r="AN22" s="53">
        <v>2990</v>
      </c>
      <c r="AO22" s="43">
        <f t="shared" si="16"/>
        <v>-1.5149999999999999</v>
      </c>
      <c r="AP22" s="43">
        <f t="shared" si="17"/>
        <v>292349.55</v>
      </c>
    </row>
    <row r="23" spans="2:42" x14ac:dyDescent="0.2">
      <c r="E23" s="13">
        <v>1.4930000000000001</v>
      </c>
      <c r="F23" s="14">
        <v>2440</v>
      </c>
      <c r="H23" s="14">
        <v>1.496</v>
      </c>
      <c r="I23" s="14">
        <v>2090</v>
      </c>
      <c r="K23" s="14">
        <v>1.4710000000000001</v>
      </c>
      <c r="L23" s="14">
        <v>1670</v>
      </c>
      <c r="N23" s="14">
        <v>1.4890000000000001</v>
      </c>
      <c r="O23" s="15">
        <v>2400</v>
      </c>
      <c r="X23" s="53">
        <v>1.524</v>
      </c>
      <c r="Y23" s="53">
        <v>2930</v>
      </c>
      <c r="Z23" s="43">
        <f t="shared" si="10"/>
        <v>-1.524</v>
      </c>
      <c r="AA23" s="54">
        <f t="shared" si="11"/>
        <v>294086.28000000003</v>
      </c>
      <c r="AB23" s="41"/>
      <c r="AC23" s="53">
        <v>1.5309999999999999</v>
      </c>
      <c r="AD23" s="53">
        <v>2580</v>
      </c>
      <c r="AE23" s="43">
        <f t="shared" si="12"/>
        <v>-1.5309999999999999</v>
      </c>
      <c r="AF23" s="54">
        <f t="shared" si="13"/>
        <v>295437.07</v>
      </c>
      <c r="AG23" s="41"/>
      <c r="AH23" s="53">
        <v>1.5089999999999999</v>
      </c>
      <c r="AI23" s="53">
        <v>2480</v>
      </c>
      <c r="AJ23" s="43">
        <f t="shared" si="14"/>
        <v>-1.5089999999999999</v>
      </c>
      <c r="AK23" s="43">
        <f t="shared" si="15"/>
        <v>291191.73</v>
      </c>
      <c r="AL23" s="41"/>
      <c r="AM23" s="53">
        <v>1.5309999999999999</v>
      </c>
      <c r="AN23" s="53">
        <v>3380</v>
      </c>
      <c r="AO23" s="43">
        <f t="shared" si="16"/>
        <v>-1.5309999999999999</v>
      </c>
      <c r="AP23" s="43">
        <f t="shared" si="17"/>
        <v>295437.07</v>
      </c>
    </row>
    <row r="24" spans="2:42" x14ac:dyDescent="0.2">
      <c r="E24" s="13">
        <v>1.506</v>
      </c>
      <c r="F24" s="14">
        <v>2630</v>
      </c>
      <c r="H24" s="14">
        <v>1.5129999999999999</v>
      </c>
      <c r="I24" s="14">
        <v>2350</v>
      </c>
      <c r="K24" s="14">
        <v>1.488</v>
      </c>
      <c r="L24" s="14">
        <v>2020</v>
      </c>
      <c r="N24" s="14">
        <v>1.5149999999999999</v>
      </c>
      <c r="O24" s="15">
        <v>2990</v>
      </c>
      <c r="X24" s="53">
        <v>1.5309999999999999</v>
      </c>
      <c r="Y24" s="53">
        <v>3010</v>
      </c>
      <c r="Z24" s="43">
        <f t="shared" si="10"/>
        <v>-1.5309999999999999</v>
      </c>
      <c r="AA24" s="54">
        <f t="shared" si="11"/>
        <v>295437.07</v>
      </c>
      <c r="AB24" s="41"/>
      <c r="AC24" s="53">
        <v>1.5509999999999999</v>
      </c>
      <c r="AD24" s="53">
        <v>2980</v>
      </c>
      <c r="AE24" s="43">
        <f t="shared" si="12"/>
        <v>-1.5509999999999999</v>
      </c>
      <c r="AF24" s="54">
        <f t="shared" si="13"/>
        <v>299296.46999999997</v>
      </c>
      <c r="AG24" s="41"/>
      <c r="AH24" s="53">
        <v>1.5329999999999999</v>
      </c>
      <c r="AI24" s="53">
        <v>3020</v>
      </c>
      <c r="AJ24" s="43">
        <f t="shared" si="14"/>
        <v>-1.5329999999999999</v>
      </c>
      <c r="AK24" s="43">
        <f t="shared" si="15"/>
        <v>295823.01</v>
      </c>
      <c r="AL24" s="41"/>
      <c r="AM24" s="53">
        <v>1.546</v>
      </c>
      <c r="AN24" s="53">
        <v>3770</v>
      </c>
      <c r="AO24" s="43">
        <f t="shared" si="16"/>
        <v>-1.546</v>
      </c>
      <c r="AP24" s="43">
        <f t="shared" si="17"/>
        <v>298331.62</v>
      </c>
    </row>
    <row r="25" spans="2:42" x14ac:dyDescent="0.2">
      <c r="E25" s="13">
        <v>1.524</v>
      </c>
      <c r="F25" s="14">
        <v>2930</v>
      </c>
      <c r="H25" s="14">
        <v>1.5309999999999999</v>
      </c>
      <c r="I25" s="14">
        <v>2580</v>
      </c>
      <c r="K25" s="14">
        <v>1.5089999999999999</v>
      </c>
      <c r="L25" s="14">
        <v>2480</v>
      </c>
      <c r="N25" s="14">
        <v>1.5309999999999999</v>
      </c>
      <c r="O25" s="15">
        <v>3380</v>
      </c>
      <c r="X25" s="53"/>
      <c r="Y25" s="53"/>
      <c r="Z25" s="43"/>
      <c r="AA25" s="43"/>
      <c r="AB25" s="41"/>
      <c r="AC25" s="53"/>
      <c r="AD25" s="53"/>
      <c r="AE25" s="43"/>
      <c r="AF25" s="43"/>
      <c r="AG25" s="41"/>
      <c r="AH25" s="53"/>
      <c r="AI25" s="53"/>
      <c r="AJ25" s="43"/>
      <c r="AK25" s="43"/>
      <c r="AL25" s="41"/>
      <c r="AM25" s="53"/>
      <c r="AN25" s="53"/>
      <c r="AO25" s="43"/>
      <c r="AP25" s="43"/>
    </row>
    <row r="26" spans="2:42" x14ac:dyDescent="0.2">
      <c r="E26" s="13">
        <v>1.5309999999999999</v>
      </c>
      <c r="F26" s="14">
        <v>3010</v>
      </c>
      <c r="H26" s="14">
        <v>1.5509999999999999</v>
      </c>
      <c r="I26" s="14">
        <v>2980</v>
      </c>
      <c r="K26" s="14">
        <v>1.5329999999999999</v>
      </c>
      <c r="L26" s="14">
        <v>3020</v>
      </c>
      <c r="N26" s="14">
        <v>1.546</v>
      </c>
      <c r="O26" s="15">
        <v>3770</v>
      </c>
    </row>
    <row r="27" spans="2:42" ht="16" thickBot="1" x14ac:dyDescent="0.25">
      <c r="E27" s="16"/>
      <c r="F27" s="17"/>
      <c r="G27" s="18"/>
      <c r="H27" s="17"/>
      <c r="I27" s="17"/>
      <c r="J27" s="18"/>
      <c r="K27" s="17"/>
      <c r="L27" s="17"/>
      <c r="M27" s="18"/>
      <c r="N27" s="17"/>
      <c r="O27" s="19"/>
    </row>
    <row r="31" spans="2:42" x14ac:dyDescent="0.2">
      <c r="B31" s="37"/>
      <c r="C31" s="38"/>
      <c r="D31" s="33"/>
      <c r="E31" s="33"/>
      <c r="F31" s="33"/>
      <c r="G31" s="33"/>
      <c r="H31" s="33"/>
      <c r="I31" s="33"/>
      <c r="J31" s="34"/>
    </row>
    <row r="32" spans="2:42" ht="34" customHeight="1" x14ac:dyDescent="0.2">
      <c r="B32" s="39"/>
      <c r="C32" s="39"/>
      <c r="J32" s="30"/>
    </row>
    <row r="33" spans="2:10" x14ac:dyDescent="0.2">
      <c r="B33" s="39">
        <f>SQRT(B13)</f>
        <v>1</v>
      </c>
      <c r="C33" s="42">
        <f>C13+(2*8.314472*293.15)/(96485.3399)*LN(B13)</f>
        <v>0.2276</v>
      </c>
      <c r="J33" s="30"/>
    </row>
    <row r="34" spans="2:10" x14ac:dyDescent="0.2">
      <c r="B34" s="39">
        <f>SQRT(B12)</f>
        <v>0.22360679774997896</v>
      </c>
      <c r="C34" s="42">
        <f>C12+(2*8.314472*293.15)/(96485.3399)*LN(B12)</f>
        <v>0.22684518682285812</v>
      </c>
      <c r="J34" s="30"/>
    </row>
    <row r="35" spans="2:10" x14ac:dyDescent="0.2">
      <c r="B35" s="39">
        <f>SQRT(B11)</f>
        <v>0.1</v>
      </c>
      <c r="C35" s="42">
        <f>C11+(2*8.314472*293.15)/(96485.3399)*LN(B11)</f>
        <v>0.22233078609782883</v>
      </c>
      <c r="J35" s="30"/>
    </row>
    <row r="36" spans="2:10" x14ac:dyDescent="0.2">
      <c r="B36" s="39">
        <f>SQRT(B10)</f>
        <v>7.0710678118654752E-2</v>
      </c>
      <c r="C36" s="42">
        <f>C10+(2*8.314472*293.15)/(96485.3399)*LN(B10)</f>
        <v>0.22091057987177254</v>
      </c>
      <c r="J36" s="30"/>
    </row>
    <row r="37" spans="2:10" x14ac:dyDescent="0.2">
      <c r="B37" s="39">
        <f>SQRT(B9)</f>
        <v>3.1622776601683791E-2</v>
      </c>
      <c r="C37" s="42">
        <f>C9+(2*8.314472*293.15)/(96485.3399)*LN(B9)</f>
        <v>0.21559617914674317</v>
      </c>
      <c r="J37" s="30"/>
    </row>
    <row r="38" spans="2:10" x14ac:dyDescent="0.2">
      <c r="B38" s="39">
        <f>SQRT(B8)</f>
        <v>2.2360679774997897E-2</v>
      </c>
      <c r="C38" s="42">
        <f>C8+(2*8.314472*293.15)/(96485.3399)*LN(B8)</f>
        <v>0.21517597292068685</v>
      </c>
      <c r="J38" s="30"/>
    </row>
    <row r="39" spans="2:10" x14ac:dyDescent="0.2">
      <c r="B39" s="29"/>
      <c r="J39" s="30"/>
    </row>
    <row r="40" spans="2:10" x14ac:dyDescent="0.2">
      <c r="B40" s="29"/>
      <c r="J40" s="30"/>
    </row>
    <row r="41" spans="2:10" x14ac:dyDescent="0.2">
      <c r="B41" s="29"/>
      <c r="J41" s="30"/>
    </row>
    <row r="42" spans="2:10" x14ac:dyDescent="0.2">
      <c r="B42" s="29"/>
      <c r="J42" s="30"/>
    </row>
    <row r="43" spans="2:10" x14ac:dyDescent="0.2">
      <c r="B43" s="29"/>
      <c r="J43" s="30"/>
    </row>
    <row r="44" spans="2:10" x14ac:dyDescent="0.2">
      <c r="B44" s="29"/>
      <c r="J44" s="30"/>
    </row>
    <row r="45" spans="2:10" x14ac:dyDescent="0.2">
      <c r="B45" s="29"/>
      <c r="J45" s="30"/>
    </row>
    <row r="46" spans="2:10" x14ac:dyDescent="0.2">
      <c r="B46" s="31"/>
      <c r="C46" s="35"/>
      <c r="D46" s="35"/>
      <c r="E46" s="35"/>
      <c r="F46" s="35"/>
      <c r="G46" s="35"/>
      <c r="H46" s="35"/>
      <c r="I46" s="35"/>
      <c r="J46" s="32"/>
    </row>
    <row r="52" spans="2:30" x14ac:dyDescent="0.2">
      <c r="B52" s="46" t="s">
        <v>25</v>
      </c>
      <c r="C52" s="46"/>
      <c r="D52" s="36"/>
    </row>
    <row r="55" spans="2:30" x14ac:dyDescent="0.2">
      <c r="X55" s="47" t="s">
        <v>27</v>
      </c>
      <c r="Y55" s="47"/>
      <c r="Z55" s="46"/>
      <c r="AA55" s="46"/>
    </row>
    <row r="56" spans="2:30" x14ac:dyDescent="0.2">
      <c r="X56" s="47"/>
      <c r="Y56" s="47"/>
      <c r="Z56" s="46"/>
      <c r="AA56" s="46"/>
      <c r="AC56" s="36" t="s">
        <v>29</v>
      </c>
      <c r="AD56" s="36">
        <f>223.09+130.6-2*55.2</f>
        <v>243.29</v>
      </c>
    </row>
    <row r="57" spans="2:30" x14ac:dyDescent="0.2">
      <c r="X57" s="47"/>
      <c r="Y57" s="47"/>
      <c r="Z57" s="46"/>
      <c r="AA57" s="46"/>
    </row>
    <row r="59" spans="2:30" ht="29" customHeight="1" x14ac:dyDescent="0.2"/>
    <row r="62" spans="2:30" x14ac:dyDescent="0.2">
      <c r="AA62" s="39" t="s">
        <v>28</v>
      </c>
      <c r="AB62" s="39">
        <f>0-2*(-131200)</f>
        <v>262400</v>
      </c>
    </row>
    <row r="75" spans="5:27" x14ac:dyDescent="0.2">
      <c r="U75" s="36"/>
      <c r="V75" s="36"/>
    </row>
    <row r="76" spans="5:27" ht="16" thickBot="1" x14ac:dyDescent="0.25">
      <c r="U76" s="36"/>
      <c r="V76" s="36"/>
    </row>
    <row r="77" spans="5:27" ht="16" thickBot="1" x14ac:dyDescent="0.25">
      <c r="E77" s="48" t="s">
        <v>9</v>
      </c>
      <c r="F77" s="49"/>
      <c r="H77" s="48" t="s">
        <v>10</v>
      </c>
      <c r="I77" s="49"/>
      <c r="K77" s="48" t="s">
        <v>11</v>
      </c>
      <c r="L77" s="49"/>
      <c r="N77" s="48" t="s">
        <v>12</v>
      </c>
      <c r="O77" s="49"/>
      <c r="U77" s="36"/>
      <c r="V77" s="36"/>
    </row>
    <row r="78" spans="5:27" x14ac:dyDescent="0.2">
      <c r="E78" s="23" t="s">
        <v>7</v>
      </c>
      <c r="F78" s="20" t="s">
        <v>13</v>
      </c>
      <c r="H78" s="20" t="s">
        <v>7</v>
      </c>
      <c r="I78" s="20" t="s">
        <v>13</v>
      </c>
      <c r="K78" s="20" t="s">
        <v>7</v>
      </c>
      <c r="L78" s="20" t="s">
        <v>13</v>
      </c>
      <c r="N78" s="20" t="s">
        <v>7</v>
      </c>
      <c r="O78" s="21" t="s">
        <v>13</v>
      </c>
      <c r="W78">
        <v>1</v>
      </c>
    </row>
    <row r="79" spans="5:27" x14ac:dyDescent="0.2">
      <c r="E79" s="11">
        <v>1.196</v>
      </c>
      <c r="F79" s="1">
        <v>0</v>
      </c>
      <c r="H79" s="1">
        <v>1.198</v>
      </c>
      <c r="I79" s="1">
        <v>0</v>
      </c>
      <c r="K79" s="1">
        <v>1.1930000000000001</v>
      </c>
      <c r="L79" s="1">
        <v>0</v>
      </c>
      <c r="N79" s="1">
        <v>1.202</v>
      </c>
      <c r="O79" s="12">
        <v>0</v>
      </c>
      <c r="S79" s="27"/>
      <c r="T79" s="33"/>
      <c r="U79" s="33"/>
      <c r="V79" s="33"/>
      <c r="W79" s="33"/>
      <c r="X79" s="33"/>
      <c r="Y79" s="33"/>
      <c r="Z79" s="33"/>
      <c r="AA79" s="34"/>
    </row>
    <row r="80" spans="5:27" x14ac:dyDescent="0.2">
      <c r="E80" s="13">
        <v>1.2210000000000001</v>
      </c>
      <c r="F80" s="14">
        <v>0</v>
      </c>
      <c r="H80" s="14">
        <v>1.2170000000000001</v>
      </c>
      <c r="I80" s="14">
        <v>0</v>
      </c>
      <c r="K80" s="14">
        <v>1.216</v>
      </c>
      <c r="L80" s="14">
        <v>0</v>
      </c>
      <c r="N80" s="14">
        <v>1.22</v>
      </c>
      <c r="O80" s="15">
        <v>0</v>
      </c>
      <c r="S80" s="29" t="s">
        <v>18</v>
      </c>
      <c r="AA80" s="30"/>
    </row>
    <row r="81" spans="5:28" x14ac:dyDescent="0.2">
      <c r="E81" s="13">
        <v>1.236</v>
      </c>
      <c r="F81" s="14">
        <v>0</v>
      </c>
      <c r="H81" s="14">
        <v>1.2390000000000001</v>
      </c>
      <c r="I81" s="14">
        <v>0</v>
      </c>
      <c r="K81" s="14">
        <v>1.242</v>
      </c>
      <c r="L81" s="14">
        <v>0</v>
      </c>
      <c r="N81" s="14">
        <v>1.234</v>
      </c>
      <c r="O81" s="15">
        <v>0</v>
      </c>
      <c r="S81" s="29"/>
      <c r="X81" s="55"/>
      <c r="AA81" s="30"/>
    </row>
    <row r="82" spans="5:28" x14ac:dyDescent="0.2">
      <c r="E82" s="13">
        <v>1.2589999999999999</v>
      </c>
      <c r="F82" s="14">
        <v>0</v>
      </c>
      <c r="H82" s="14">
        <v>1.254</v>
      </c>
      <c r="I82" s="14">
        <v>0</v>
      </c>
      <c r="K82" s="14">
        <v>1.2549999999999999</v>
      </c>
      <c r="L82" s="14">
        <v>0</v>
      </c>
      <c r="N82" s="14">
        <v>1.2549999999999999</v>
      </c>
      <c r="O82" s="15">
        <v>0</v>
      </c>
      <c r="S82" s="40" t="s">
        <v>19</v>
      </c>
      <c r="T82" s="39" t="s">
        <v>34</v>
      </c>
      <c r="U82" s="40" t="s">
        <v>24</v>
      </c>
      <c r="V82" s="40" t="s">
        <v>32</v>
      </c>
      <c r="AA82" s="30"/>
    </row>
    <row r="83" spans="5:28" x14ac:dyDescent="0.2">
      <c r="E83" s="13">
        <v>1.2809999999999999</v>
      </c>
      <c r="F83" s="14">
        <v>30</v>
      </c>
      <c r="H83" s="14">
        <v>1.28</v>
      </c>
      <c r="I83" s="14">
        <v>10</v>
      </c>
      <c r="K83" s="14">
        <v>1.2749999999999999</v>
      </c>
      <c r="L83" s="14">
        <v>0</v>
      </c>
      <c r="N83" s="14">
        <v>1.28</v>
      </c>
      <c r="O83" s="15">
        <v>0</v>
      </c>
      <c r="S83" s="43">
        <v>15</v>
      </c>
      <c r="T83" s="56">
        <v>1.431</v>
      </c>
      <c r="U83" s="43">
        <f>-T83</f>
        <v>-1.431</v>
      </c>
      <c r="V83" s="43">
        <f>-2*$C$19*(U83)</f>
        <v>276140.07</v>
      </c>
      <c r="X83" s="39" t="s">
        <v>33</v>
      </c>
      <c r="Y83" s="39">
        <f>0-2*(-131200)</f>
        <v>262400</v>
      </c>
      <c r="AA83" s="30"/>
    </row>
    <row r="84" spans="5:28" ht="17" customHeight="1" x14ac:dyDescent="0.2">
      <c r="E84" s="13">
        <v>1.296</v>
      </c>
      <c r="F84" s="14">
        <v>60</v>
      </c>
      <c r="H84" s="14">
        <v>1.3</v>
      </c>
      <c r="I84" s="14">
        <v>20</v>
      </c>
      <c r="K84" s="14">
        <v>1.2969999999999999</v>
      </c>
      <c r="L84" s="14">
        <v>10</v>
      </c>
      <c r="N84" s="14">
        <v>1.298</v>
      </c>
      <c r="O84" s="15">
        <v>20</v>
      </c>
      <c r="S84" s="57">
        <v>20</v>
      </c>
      <c r="T84" s="56">
        <v>1.4139999999999999</v>
      </c>
      <c r="U84" s="43">
        <f t="shared" ref="U84:U86" si="18">-T84</f>
        <v>-1.4139999999999999</v>
      </c>
      <c r="V84" s="43">
        <f t="shared" ref="V84:V86" si="19">-2*$C$19*(U84)</f>
        <v>272859.57999999996</v>
      </c>
      <c r="AA84" s="30"/>
    </row>
    <row r="85" spans="5:28" x14ac:dyDescent="0.2">
      <c r="E85" s="13">
        <v>1.3129999999999999</v>
      </c>
      <c r="F85" s="14">
        <v>130</v>
      </c>
      <c r="H85" s="14">
        <v>1.323</v>
      </c>
      <c r="I85" s="14">
        <v>50</v>
      </c>
      <c r="K85" s="14">
        <v>1.321</v>
      </c>
      <c r="L85" s="14">
        <v>40</v>
      </c>
      <c r="N85" s="14">
        <v>1.3129999999999999</v>
      </c>
      <c r="O85" s="15">
        <v>40</v>
      </c>
      <c r="S85" s="43">
        <v>25</v>
      </c>
      <c r="T85" s="56">
        <v>1.395</v>
      </c>
      <c r="U85" s="43">
        <f t="shared" si="18"/>
        <v>-1.395</v>
      </c>
      <c r="V85" s="43">
        <f t="shared" si="19"/>
        <v>269193.15000000002</v>
      </c>
      <c r="AA85" s="30"/>
      <c r="AB85" t="s">
        <v>20</v>
      </c>
    </row>
    <row r="86" spans="5:28" x14ac:dyDescent="0.2">
      <c r="E86" s="13">
        <v>1.3380000000000001</v>
      </c>
      <c r="F86" s="14">
        <v>270</v>
      </c>
      <c r="H86" s="14">
        <v>1.3580000000000001</v>
      </c>
      <c r="I86" s="14">
        <v>140</v>
      </c>
      <c r="K86" s="14">
        <v>1.339</v>
      </c>
      <c r="L86" s="14">
        <v>90</v>
      </c>
      <c r="N86" s="14">
        <v>1.3380000000000001</v>
      </c>
      <c r="O86" s="15">
        <v>130</v>
      </c>
      <c r="S86" s="43">
        <v>30</v>
      </c>
      <c r="T86" s="56">
        <v>1.403</v>
      </c>
      <c r="U86" s="43">
        <f t="shared" si="18"/>
        <v>-1.403</v>
      </c>
      <c r="V86" s="43">
        <f t="shared" si="19"/>
        <v>270736.91000000003</v>
      </c>
      <c r="AA86" s="30"/>
    </row>
    <row r="87" spans="5:28" x14ac:dyDescent="0.2">
      <c r="E87" s="13">
        <v>1.355</v>
      </c>
      <c r="F87" s="14">
        <v>400</v>
      </c>
      <c r="H87" s="14">
        <v>1.375</v>
      </c>
      <c r="I87" s="14">
        <v>250</v>
      </c>
      <c r="K87" s="14">
        <v>1.357</v>
      </c>
      <c r="L87" s="14">
        <v>200</v>
      </c>
      <c r="N87" s="14">
        <v>1.3520000000000001</v>
      </c>
      <c r="O87" s="15">
        <v>220</v>
      </c>
      <c r="AA87" s="30"/>
    </row>
    <row r="88" spans="5:28" x14ac:dyDescent="0.2">
      <c r="E88" s="13">
        <v>1.3759999999999999</v>
      </c>
      <c r="F88" s="14">
        <v>610</v>
      </c>
      <c r="H88" s="14">
        <v>1.3959999999999999</v>
      </c>
      <c r="I88" s="14">
        <v>440</v>
      </c>
      <c r="K88" s="14">
        <v>1.369</v>
      </c>
      <c r="L88" s="14">
        <v>280</v>
      </c>
      <c r="N88" s="14">
        <v>1.375</v>
      </c>
      <c r="O88" s="15">
        <v>420</v>
      </c>
      <c r="S88" s="29"/>
      <c r="AA88" s="30"/>
    </row>
    <row r="89" spans="5:28" x14ac:dyDescent="0.2">
      <c r="E89" s="13">
        <v>1.397</v>
      </c>
      <c r="F89" s="14">
        <v>870</v>
      </c>
      <c r="H89" s="14">
        <v>1.4219999999999999</v>
      </c>
      <c r="I89" s="14">
        <v>670</v>
      </c>
      <c r="K89" s="14">
        <v>1.373</v>
      </c>
      <c r="L89" s="14">
        <v>290</v>
      </c>
      <c r="N89" s="14">
        <v>1.397</v>
      </c>
      <c r="O89" s="15">
        <v>700</v>
      </c>
      <c r="S89" s="29"/>
      <c r="AA89" s="30"/>
    </row>
    <row r="90" spans="5:28" x14ac:dyDescent="0.2">
      <c r="E90" s="13">
        <v>1.4139999999999999</v>
      </c>
      <c r="F90" s="14">
        <v>1090</v>
      </c>
      <c r="H90" s="14">
        <v>1.4390000000000001</v>
      </c>
      <c r="I90" s="14">
        <v>900</v>
      </c>
      <c r="K90" s="14">
        <v>1.3979999999999999</v>
      </c>
      <c r="L90" s="14">
        <v>550</v>
      </c>
      <c r="N90" s="14">
        <v>1.415</v>
      </c>
      <c r="O90" s="15">
        <v>930</v>
      </c>
      <c r="S90" s="29"/>
      <c r="AA90" s="30"/>
    </row>
    <row r="91" spans="5:28" x14ac:dyDescent="0.2">
      <c r="E91" s="13">
        <v>1.431</v>
      </c>
      <c r="F91" s="14">
        <v>1360</v>
      </c>
      <c r="H91" s="14">
        <v>1.4490000000000001</v>
      </c>
      <c r="I91" s="14">
        <v>1130</v>
      </c>
      <c r="K91" s="14">
        <v>1.4119999999999999</v>
      </c>
      <c r="L91" s="14">
        <v>720</v>
      </c>
      <c r="N91" s="14">
        <v>1.431</v>
      </c>
      <c r="O91" s="15">
        <v>1200</v>
      </c>
      <c r="S91" s="29"/>
      <c r="AA91" s="30"/>
    </row>
    <row r="92" spans="5:28" x14ac:dyDescent="0.2">
      <c r="E92" s="13">
        <v>1.458</v>
      </c>
      <c r="F92" s="14">
        <v>1700</v>
      </c>
      <c r="H92" s="14">
        <v>1.4750000000000001</v>
      </c>
      <c r="I92" s="14">
        <v>1440</v>
      </c>
      <c r="K92" s="14">
        <v>1.43</v>
      </c>
      <c r="L92" s="14">
        <v>1000</v>
      </c>
      <c r="N92" s="14">
        <v>1.4550000000000001</v>
      </c>
      <c r="O92" s="15">
        <v>1700</v>
      </c>
      <c r="S92" s="29"/>
      <c r="AA92" s="30"/>
    </row>
    <row r="93" spans="5:28" x14ac:dyDescent="0.2">
      <c r="E93" s="13">
        <v>1.478</v>
      </c>
      <c r="F93" s="14">
        <v>2060</v>
      </c>
      <c r="H93" s="14">
        <v>1.4890000000000001</v>
      </c>
      <c r="I93" s="14">
        <v>1690</v>
      </c>
      <c r="K93" s="14">
        <v>1.4550000000000001</v>
      </c>
      <c r="L93" s="14">
        <v>1360</v>
      </c>
      <c r="N93" s="14">
        <v>1.474</v>
      </c>
      <c r="O93" s="15">
        <v>2080</v>
      </c>
      <c r="S93" s="29"/>
      <c r="AA93" s="30"/>
    </row>
    <row r="94" spans="5:28" x14ac:dyDescent="0.2">
      <c r="E94" s="13">
        <v>1.4990000000000001</v>
      </c>
      <c r="F94" s="14">
        <v>2440</v>
      </c>
      <c r="H94" s="14">
        <v>1.5089999999999999</v>
      </c>
      <c r="I94" s="14">
        <v>2090</v>
      </c>
      <c r="K94" s="14">
        <v>1.4710000000000001</v>
      </c>
      <c r="L94" s="14">
        <v>1670</v>
      </c>
      <c r="N94" s="14">
        <v>1.4810000000000001</v>
      </c>
      <c r="O94" s="15">
        <v>2400</v>
      </c>
      <c r="S94" s="31"/>
      <c r="T94" s="35"/>
      <c r="U94" s="35"/>
      <c r="V94" s="35"/>
      <c r="W94" s="35"/>
      <c r="X94" s="35"/>
      <c r="Y94" s="35"/>
      <c r="Z94" s="35"/>
      <c r="AA94" s="32"/>
    </row>
    <row r="95" spans="5:28" x14ac:dyDescent="0.2">
      <c r="E95" s="13">
        <v>1.506</v>
      </c>
      <c r="F95" s="14">
        <v>2630</v>
      </c>
      <c r="H95" s="14">
        <v>1.526</v>
      </c>
      <c r="I95" s="14">
        <v>2350</v>
      </c>
      <c r="K95" s="14">
        <v>1.488</v>
      </c>
      <c r="L95" s="14">
        <v>2020</v>
      </c>
      <c r="N95" s="14">
        <v>1.4990000000000001</v>
      </c>
      <c r="O95" s="15">
        <v>2990</v>
      </c>
    </row>
    <row r="96" spans="5:28" x14ac:dyDescent="0.2">
      <c r="E96" s="13">
        <v>1.5109999999999999</v>
      </c>
      <c r="F96" s="14">
        <v>2930</v>
      </c>
      <c r="H96" s="14">
        <v>1.5309999999999999</v>
      </c>
      <c r="I96" s="14">
        <v>2580</v>
      </c>
      <c r="K96" s="14">
        <v>1.5089999999999999</v>
      </c>
      <c r="L96" s="14">
        <v>2480</v>
      </c>
      <c r="N96" s="14">
        <v>1.5149999999999999</v>
      </c>
      <c r="O96" s="15">
        <v>3380</v>
      </c>
    </row>
    <row r="97" spans="5:15" x14ac:dyDescent="0.2">
      <c r="E97" s="13">
        <v>1.516</v>
      </c>
      <c r="F97" s="14">
        <v>3010</v>
      </c>
      <c r="H97" s="14">
        <v>1.5509999999999999</v>
      </c>
      <c r="I97" s="14">
        <v>2980</v>
      </c>
      <c r="K97" s="14">
        <v>1.5329999999999999</v>
      </c>
      <c r="L97" s="14">
        <v>3020</v>
      </c>
      <c r="N97" s="14">
        <v>1.524</v>
      </c>
      <c r="O97" s="15">
        <v>3770</v>
      </c>
    </row>
    <row r="98" spans="5:15" ht="16" thickBot="1" x14ac:dyDescent="0.25">
      <c r="E98" s="16"/>
      <c r="F98" s="17"/>
      <c r="G98" s="18"/>
      <c r="H98" s="17"/>
      <c r="I98" s="17"/>
      <c r="J98" s="18"/>
      <c r="K98" s="17"/>
      <c r="L98" s="17"/>
      <c r="M98" s="18"/>
      <c r="N98" s="17"/>
      <c r="O98" s="19"/>
    </row>
  </sheetData>
  <mergeCells count="15">
    <mergeCell ref="E77:F77"/>
    <mergeCell ref="H77:I77"/>
    <mergeCell ref="K77:L77"/>
    <mergeCell ref="N77:O77"/>
    <mergeCell ref="B52:C52"/>
    <mergeCell ref="Z55:AA57"/>
    <mergeCell ref="X55:Y57"/>
    <mergeCell ref="X4:AA4"/>
    <mergeCell ref="AM4:AP4"/>
    <mergeCell ref="AH4:AK4"/>
    <mergeCell ref="AC4:AF4"/>
    <mergeCell ref="E6:F6"/>
    <mergeCell ref="H6:I6"/>
    <mergeCell ref="K6:L6"/>
    <mergeCell ref="N6:O6"/>
  </mergeCells>
  <pageMargins left="0.7" right="0.7" top="0.78740157499999996" bottom="0.78740157499999996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Grießer, Christoph</dc:creator>
  <cp:lastModifiedBy>Sascha Berens</cp:lastModifiedBy>
  <dcterms:created xsi:type="dcterms:W3CDTF">2024-04-29T09:03:35Z</dcterms:created>
  <dcterms:modified xsi:type="dcterms:W3CDTF">2025-06-03T15:53:18Z</dcterms:modified>
</cp:coreProperties>
</file>