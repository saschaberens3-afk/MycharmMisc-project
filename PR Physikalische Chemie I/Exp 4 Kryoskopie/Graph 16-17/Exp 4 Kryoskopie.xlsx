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scha0404/Documents/UNI/Chemie/4. semester/PR-Physikalisch-Chemisches Praktikum/Exp. 4. Kryoskopie/"/>
    </mc:Choice>
  </mc:AlternateContent>
  <xr:revisionPtr revIDLastSave="0" documentId="13_ncr:1_{13168458-E0B8-8943-8DD2-C967F8A91D58}" xr6:coauthVersionLast="47" xr6:coauthVersionMax="47" xr10:uidLastSave="{00000000-0000-0000-0000-000000000000}"/>
  <bookViews>
    <workbookView xWindow="0" yWindow="0" windowWidth="28800" windowHeight="18000" activeTab="1" xr2:uid="{5115A34B-1278-E447-BBA7-F23CB993EAAA}"/>
  </bookViews>
  <sheets>
    <sheet name="Tabelle1" sheetId="1" r:id="rId1"/>
    <sheet name="15 Graphen + Gefrierpunkt" sheetId="3" r:id="rId2"/>
    <sheet name="Tabelle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6" i="3" l="1"/>
  <c r="AQ19" i="3"/>
  <c r="AJ18" i="3"/>
  <c r="AJ19" i="3"/>
  <c r="AJ20" i="3"/>
  <c r="AJ17" i="3"/>
  <c r="AH18" i="3"/>
  <c r="AH17" i="3"/>
  <c r="AZ19" i="3"/>
  <c r="AZ20" i="3"/>
  <c r="BA18" i="3"/>
  <c r="BA17" i="3"/>
  <c r="AQ20" i="3"/>
  <c r="BF20" i="3"/>
  <c r="BE20" i="3"/>
  <c r="BG20" i="3" s="1"/>
  <c r="BF19" i="3"/>
  <c r="BE19" i="3"/>
  <c r="BG19" i="3" s="1"/>
  <c r="BF18" i="3"/>
  <c r="BE18" i="3"/>
  <c r="BG18" i="3" s="1"/>
  <c r="BF17" i="3"/>
  <c r="BG17" i="3" s="1"/>
  <c r="BE17" i="3"/>
  <c r="BE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16" i="3"/>
  <c r="BA16" i="3" s="1"/>
  <c r="AZ18" i="3"/>
  <c r="AZ17" i="3"/>
  <c r="AZ16" i="3"/>
  <c r="AQ17" i="3"/>
  <c r="AQ18" i="3"/>
  <c r="AQ16" i="3"/>
  <c r="AZ22" i="3"/>
  <c r="AG9" i="3"/>
  <c r="AR17" i="3" s="1"/>
  <c r="AZ24" i="3" l="1"/>
  <c r="AZ23" i="3"/>
  <c r="BA23" i="3" s="1"/>
  <c r="BA24" i="3"/>
  <c r="AZ21" i="3"/>
  <c r="BA22" i="3"/>
  <c r="BA20" i="3"/>
  <c r="BA21" i="3"/>
  <c r="BA19" i="3"/>
  <c r="AR24" i="3"/>
  <c r="AP23" i="3"/>
  <c r="AS23" i="3" s="1"/>
  <c r="AH19" i="3"/>
  <c r="AQ23" i="3"/>
  <c r="AQ24" i="3"/>
  <c r="AQ22" i="3"/>
  <c r="AR23" i="3"/>
  <c r="AP22" i="3"/>
  <c r="AS22" i="3" s="1"/>
  <c r="AR30" i="3"/>
  <c r="AR22" i="3"/>
  <c r="AP24" i="3"/>
  <c r="AS24" i="3" s="1"/>
  <c r="AP16" i="3"/>
  <c r="AS16" i="3" s="1"/>
  <c r="AP30" i="3"/>
  <c r="AS30" i="3" s="1"/>
  <c r="AQ21" i="3"/>
  <c r="AP29" i="3"/>
  <c r="AS29" i="3" s="1"/>
  <c r="AP21" i="3"/>
  <c r="AS21" i="3" s="1"/>
  <c r="AR29" i="3"/>
  <c r="AR21" i="3"/>
  <c r="AR20" i="3"/>
  <c r="AR19" i="3"/>
  <c r="AR26" i="3"/>
  <c r="AR18" i="3"/>
  <c r="AP28" i="3"/>
  <c r="AS28" i="3" s="1"/>
  <c r="AP20" i="3"/>
  <c r="AS20" i="3" s="1"/>
  <c r="AR28" i="3"/>
  <c r="AP27" i="3"/>
  <c r="AS27" i="3" s="1"/>
  <c r="AP19" i="3"/>
  <c r="AS19" i="3" s="1"/>
  <c r="AR27" i="3"/>
  <c r="AP26" i="3"/>
  <c r="AS26" i="3" s="1"/>
  <c r="AP18" i="3"/>
  <c r="AS18" i="3" s="1"/>
  <c r="AP25" i="3"/>
  <c r="AS25" i="3" s="1"/>
  <c r="AP17" i="3"/>
  <c r="AS17" i="3" s="1"/>
  <c r="AR25" i="3"/>
  <c r="AZ26" i="3" l="1"/>
  <c r="BA26" i="3" s="1"/>
  <c r="AZ27" i="3"/>
  <c r="BA27" i="3" s="1"/>
  <c r="AZ25" i="3"/>
  <c r="BA25" i="3" s="1"/>
  <c r="AH20" i="3"/>
  <c r="AQ26" i="3"/>
  <c r="AQ27" i="3"/>
  <c r="AQ25" i="3"/>
  <c r="AZ29" i="3" l="1"/>
  <c r="BA29" i="3" s="1"/>
  <c r="AZ30" i="3"/>
  <c r="BA30" i="3" s="1"/>
  <c r="AZ28" i="3"/>
  <c r="BA28" i="3" s="1"/>
  <c r="AQ29" i="3"/>
  <c r="AQ30" i="3"/>
  <c r="AQ28" i="3"/>
</calcChain>
</file>

<file path=xl/sharedStrings.xml><?xml version="1.0" encoding="utf-8"?>
<sst xmlns="http://schemas.openxmlformats.org/spreadsheetml/2006/main" count="107" uniqueCount="59">
  <si>
    <t>Reines Wasser</t>
  </si>
  <si>
    <t>1. Messung:</t>
  </si>
  <si>
    <t>2. Messung:</t>
  </si>
  <si>
    <t>3. Messung:</t>
  </si>
  <si>
    <t>Wasser + 5wt%:</t>
  </si>
  <si>
    <t>Wasser + 2,5wt%</t>
  </si>
  <si>
    <t>Wasser + 7,5wt%</t>
  </si>
  <si>
    <t>2. Messung;</t>
  </si>
  <si>
    <t>Wasser + 10wt%</t>
  </si>
  <si>
    <t>Tabelle 1: Auflistung der Gefrierpunkte von reinem Wasser + Mittelwert</t>
  </si>
  <si>
    <t>Gefrierpunkt [°C]</t>
  </si>
  <si>
    <t>Mittelwert [°C]</t>
  </si>
  <si>
    <t>Messungen</t>
  </si>
  <si>
    <t>1.</t>
  </si>
  <si>
    <t>2.</t>
  </si>
  <si>
    <t>3.</t>
  </si>
  <si>
    <t>Tabelle 2: Auflistung aller gemessenen Massen m_Wasser und m_Salz der Lösungen</t>
  </si>
  <si>
    <t>5.</t>
  </si>
  <si>
    <t>6.</t>
  </si>
  <si>
    <t>7.</t>
  </si>
  <si>
    <t>9.</t>
  </si>
  <si>
    <t>10.</t>
  </si>
  <si>
    <t>12.</t>
  </si>
  <si>
    <t>13.</t>
  </si>
  <si>
    <t>14.</t>
  </si>
  <si>
    <t>15.</t>
  </si>
  <si>
    <t>4.</t>
  </si>
  <si>
    <t>8.</t>
  </si>
  <si>
    <t>11.</t>
  </si>
  <si>
    <t>m_Wasser [g]</t>
  </si>
  <si>
    <t>m_Salz [g]</t>
  </si>
  <si>
    <t>Tabelle 3: Auflistung der ermittelten und Offset korrigierten Gefrierpunkte der Salzlösungen und m_Salz/m_Wasser</t>
  </si>
  <si>
    <t>ermittelter Gefrierpunkt [°C]</t>
  </si>
  <si>
    <t>korrigierter Gefrierpunkt [°C]</t>
  </si>
  <si>
    <t>m_Salz/m_Wasser</t>
  </si>
  <si>
    <t>Wasser + 5wt%</t>
  </si>
  <si>
    <t>Wasser +7,5wt%</t>
  </si>
  <si>
    <t>Tabelle 4: Auflistung berechneter Molenbrüche von Wasser x_Wasser aller Zusammensetzungen</t>
  </si>
  <si>
    <t>x_Wasser</t>
  </si>
  <si>
    <t>Zusammensetzung</t>
  </si>
  <si>
    <t>DeltaT_Sm [°C]</t>
  </si>
  <si>
    <t>T [K]</t>
  </si>
  <si>
    <t>T*_m</t>
  </si>
  <si>
    <t>DeltaH*_m</t>
  </si>
  <si>
    <t>DeltaH*_m Theorie</t>
  </si>
  <si>
    <t>T*_m Theorie</t>
  </si>
  <si>
    <t>273,15K</t>
  </si>
  <si>
    <t>n(Wasser) [mol]</t>
  </si>
  <si>
    <t>n(Salz) [mol]</t>
  </si>
  <si>
    <t>M(Wasser) [g/mol]</t>
  </si>
  <si>
    <t>332,8kJ/kg</t>
  </si>
  <si>
    <t>https://de.wikipedia.org/wiki/Eis#:~:text=Der%20Schmelz%2D%20bzw.,Verunreinigungen%20wie%20Staubpartikel%2C%20Bakterien%20usw.</t>
  </si>
  <si>
    <t>5995,392J/mol</t>
  </si>
  <si>
    <t>Lineare Fit-Steigung: 34.1471 ± 1.7641 K·(g/g)^-1</t>
  </si>
  <si>
    <t>Molmasse M (aus Kryo-Fit): 108.94 ± 5.63 g/mol</t>
  </si>
  <si>
    <t>Gefitteter Schmelzpunkt T*_m: 273.27 ± 0.12 K</t>
  </si>
  <si>
    <t>Berechnete Schmelzenthalpie ΔH: 6013.11 ± 5.22 J/mol</t>
  </si>
  <si>
    <t>SOLLWERT</t>
  </si>
  <si>
    <t>ISTWERT wt%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</si>
</sst>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0"/>
    <numFmt numFmtId="167" formatCode="0.00000"/>
  </numFmts>
  <fonts count="3" x14ac:knownFonts="1">
    <font>
      <sz val="12"/>
      <color theme="1"/>
      <name val="Aptos Narrow"/>
      <family val="2"/>
      <scheme val="minor"/>
    </font>
    <font>
      <sz val="10.5"/>
      <color theme="1"/>
      <name val="Courier New"/>
      <family val="1"/>
    </font>
    <font>
      <u/>
      <sz val="12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2" borderId="1" xfId="0" applyNumberFormat="1" applyFill="1" applyBorder="1"/>
    <xf numFmtId="165" fontId="0" fillId="3" borderId="1" xfId="0" applyNumberFormat="1" applyFill="1" applyBorder="1"/>
    <xf numFmtId="165" fontId="0" fillId="4" borderId="1" xfId="0" applyNumberFormat="1" applyFill="1" applyBorder="1"/>
    <xf numFmtId="165" fontId="0" fillId="5" borderId="1" xfId="0" applyNumberFormat="1" applyFill="1" applyBorder="1"/>
    <xf numFmtId="165" fontId="0" fillId="6" borderId="1" xfId="0" applyNumberFormat="1" applyFill="1" applyBorder="1"/>
    <xf numFmtId="165" fontId="0" fillId="0" borderId="0" xfId="0" applyNumberFormat="1" applyAlignment="1">
      <alignment horizontal="center" vertical="center"/>
    </xf>
    <xf numFmtId="0" fontId="2" fillId="0" borderId="0" xfId="1"/>
    <xf numFmtId="164" fontId="0" fillId="0" borderId="1" xfId="0" applyNumberFormat="1" applyBorder="1"/>
    <xf numFmtId="2" fontId="0" fillId="2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2" fontId="0" fillId="2" borderId="1" xfId="0" applyNumberFormat="1" applyFill="1" applyBorder="1"/>
    <xf numFmtId="2" fontId="0" fillId="3" borderId="1" xfId="0" applyNumberFormat="1" applyFill="1" applyBorder="1"/>
    <xf numFmtId="2" fontId="0" fillId="4" borderId="1" xfId="0" applyNumberFormat="1" applyFill="1" applyBorder="1"/>
    <xf numFmtId="2" fontId="0" fillId="5" borderId="1" xfId="0" applyNumberFormat="1" applyFill="1" applyBorder="1"/>
    <xf numFmtId="2" fontId="0" fillId="6" borderId="1" xfId="0" applyNumberFormat="1" applyFill="1" applyBorder="1"/>
    <xf numFmtId="166" fontId="0" fillId="3" borderId="1" xfId="0" applyNumberForma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center"/>
    </xf>
    <xf numFmtId="167" fontId="0" fillId="6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279400</xdr:colOff>
      <xdr:row>3</xdr:row>
      <xdr:rowOff>0</xdr:rowOff>
    </xdr:from>
    <xdr:to>
      <xdr:col>9</xdr:col>
      <xdr:colOff>5938</xdr:colOff>
      <xdr:row>28</xdr:row>
      <xdr:rowOff>43330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343ADB9-155D-D648-9850-7F4485F72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0" y="609600"/>
          <a:ext cx="7246240" cy="5123330"/>
        </a:xfrm>
        <a:prstGeom prst="rect">
          <a:avLst/>
        </a:prstGeom>
      </xdr:spPr>
    </xdr:pic>
    <xdr:clientData/>
  </xdr:twoCellAnchor>
  <xdr:twoCellAnchor editAs="oneCell">
    <xdr:from>
      <xdr:col>9</xdr:col>
      <xdr:colOff>658100</xdr:colOff>
      <xdr:row>3</xdr:row>
      <xdr:rowOff>105738</xdr:rowOff>
    </xdr:from>
    <xdr:to>
      <xdr:col>18</xdr:col>
      <xdr:colOff>373241</xdr:colOff>
      <xdr:row>28</xdr:row>
      <xdr:rowOff>139010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6C0D8E7-0AC4-D84D-80C5-1698BD3EE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1900" y="715338"/>
          <a:ext cx="7258941" cy="5113272"/>
        </a:xfrm>
        <a:prstGeom prst="rect">
          <a:avLst/>
        </a:prstGeom>
      </xdr:spPr>
    </xdr:pic>
    <xdr:clientData/>
  </xdr:twoCellAnchor>
  <xdr:twoCellAnchor editAs="oneCell">
    <xdr:from>
      <xdr:col>18</xdr:col>
      <xdr:colOff>828928</xdr:colOff>
      <xdr:row>3</xdr:row>
      <xdr:rowOff>159354</xdr:rowOff>
    </xdr:from>
    <xdr:to>
      <xdr:col>27</xdr:col>
      <xdr:colOff>539031</xdr:colOff>
      <xdr:row>29</xdr:row>
      <xdr:rowOff>638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9A6D2C62-3F6D-184B-A565-0B039FACF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6528" y="768954"/>
          <a:ext cx="7253903" cy="5123329"/>
        </a:xfrm>
        <a:prstGeom prst="rect">
          <a:avLst/>
        </a:prstGeom>
      </xdr:spPr>
    </xdr:pic>
    <xdr:clientData/>
  </xdr:twoCellAnchor>
  <xdr:twoCellAnchor editAs="oneCell">
    <xdr:from>
      <xdr:col>0</xdr:col>
      <xdr:colOff>355600</xdr:colOff>
      <xdr:row>32</xdr:row>
      <xdr:rowOff>101600</xdr:rowOff>
    </xdr:from>
    <xdr:to>
      <xdr:col>9</xdr:col>
      <xdr:colOff>25400</xdr:colOff>
      <xdr:row>58</xdr:row>
      <xdr:rowOff>210241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9399BAE-1123-DEA3-6532-012DFDA08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600" y="6604000"/>
          <a:ext cx="7213600" cy="5384800"/>
        </a:xfrm>
        <a:prstGeom prst="rect">
          <a:avLst/>
        </a:prstGeom>
      </xdr:spPr>
    </xdr:pic>
    <xdr:clientData/>
  </xdr:twoCellAnchor>
  <xdr:twoCellAnchor editAs="oneCell">
    <xdr:from>
      <xdr:col>10</xdr:col>
      <xdr:colOff>101600</xdr:colOff>
      <xdr:row>32</xdr:row>
      <xdr:rowOff>50800</xdr:rowOff>
    </xdr:from>
    <xdr:to>
      <xdr:col>18</xdr:col>
      <xdr:colOff>609600</xdr:colOff>
      <xdr:row>58</xdr:row>
      <xdr:rowOff>152400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F781FBD3-5DFD-7BB9-ED9B-5E469B302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6553200"/>
          <a:ext cx="7213600" cy="5384800"/>
        </a:xfrm>
        <a:prstGeom prst="rect">
          <a:avLst/>
        </a:prstGeom>
      </xdr:spPr>
    </xdr:pic>
    <xdr:clientData/>
  </xdr:twoCellAnchor>
  <xdr:twoCellAnchor editAs="oneCell">
    <xdr:from>
      <xdr:col>19</xdr:col>
      <xdr:colOff>482600</xdr:colOff>
      <xdr:row>31</xdr:row>
      <xdr:rowOff>101600</xdr:rowOff>
    </xdr:from>
    <xdr:to>
      <xdr:col>28</xdr:col>
      <xdr:colOff>139700</xdr:colOff>
      <xdr:row>58</xdr:row>
      <xdr:rowOff>1411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4AC70035-F75C-9E1C-2091-283141FC2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08400" y="6400800"/>
          <a:ext cx="7200900" cy="5384800"/>
        </a:xfrm>
        <a:prstGeom prst="rect">
          <a:avLst/>
        </a:prstGeom>
      </xdr:spPr>
    </xdr:pic>
    <xdr:clientData/>
  </xdr:twoCellAnchor>
  <xdr:twoCellAnchor editAs="oneCell">
    <xdr:from>
      <xdr:col>0</xdr:col>
      <xdr:colOff>336177</xdr:colOff>
      <xdr:row>62</xdr:row>
      <xdr:rowOff>18676</xdr:rowOff>
    </xdr:from>
    <xdr:to>
      <xdr:col>9</xdr:col>
      <xdr:colOff>141195</xdr:colOff>
      <xdr:row>86</xdr:row>
      <xdr:rowOff>326165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28453C90-D734-1B70-CFDB-49FB00327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177" y="12756029"/>
          <a:ext cx="7200900" cy="53848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62</xdr:row>
      <xdr:rowOff>0</xdr:rowOff>
    </xdr:from>
    <xdr:to>
      <xdr:col>18</xdr:col>
      <xdr:colOff>639482</xdr:colOff>
      <xdr:row>86</xdr:row>
      <xdr:rowOff>307489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497E1501-C255-D869-997C-2DD161DB2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7647" y="12737353"/>
          <a:ext cx="7213600" cy="5384800"/>
        </a:xfrm>
        <a:prstGeom prst="rect">
          <a:avLst/>
        </a:prstGeom>
      </xdr:spPr>
    </xdr:pic>
    <xdr:clientData/>
  </xdr:twoCellAnchor>
  <xdr:twoCellAnchor editAs="oneCell">
    <xdr:from>
      <xdr:col>19</xdr:col>
      <xdr:colOff>709705</xdr:colOff>
      <xdr:row>61</xdr:row>
      <xdr:rowOff>37353</xdr:rowOff>
    </xdr:from>
    <xdr:to>
      <xdr:col>28</xdr:col>
      <xdr:colOff>514722</xdr:colOff>
      <xdr:row>86</xdr:row>
      <xdr:rowOff>141643</xdr:rowOff>
    </xdr:to>
    <xdr:pic>
      <xdr:nvPicPr>
        <xdr:cNvPr id="19" name="Grafik 18">
          <a:extLst>
            <a:ext uri="{FF2B5EF4-FFF2-40B4-BE49-F238E27FC236}">
              <a16:creationId xmlns:a16="http://schemas.microsoft.com/office/drawing/2014/main" id="{362F63DD-AB38-12B0-92D4-69DA97020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3234" y="12569265"/>
          <a:ext cx="7200900" cy="5384800"/>
        </a:xfrm>
        <a:prstGeom prst="rect">
          <a:avLst/>
        </a:prstGeom>
      </xdr:spPr>
    </xdr:pic>
    <xdr:clientData/>
  </xdr:twoCellAnchor>
  <xdr:twoCellAnchor editAs="oneCell">
    <xdr:from>
      <xdr:col>0</xdr:col>
      <xdr:colOff>354853</xdr:colOff>
      <xdr:row>90</xdr:row>
      <xdr:rowOff>186765</xdr:rowOff>
    </xdr:from>
    <xdr:to>
      <xdr:col>9</xdr:col>
      <xdr:colOff>159871</xdr:colOff>
      <xdr:row>117</xdr:row>
      <xdr:rowOff>24653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CE0054A7-F309-C4B9-C787-31DBC9D79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853" y="18676471"/>
          <a:ext cx="7200900" cy="5384800"/>
        </a:xfrm>
        <a:prstGeom prst="rect">
          <a:avLst/>
        </a:prstGeom>
      </xdr:spPr>
    </xdr:pic>
    <xdr:clientData/>
  </xdr:twoCellAnchor>
  <xdr:twoCellAnchor editAs="oneCell">
    <xdr:from>
      <xdr:col>10</xdr:col>
      <xdr:colOff>18677</xdr:colOff>
      <xdr:row>91</xdr:row>
      <xdr:rowOff>112059</xdr:rowOff>
    </xdr:from>
    <xdr:to>
      <xdr:col>18</xdr:col>
      <xdr:colOff>645459</xdr:colOff>
      <xdr:row>117</xdr:row>
      <xdr:rowOff>155388</xdr:rowOff>
    </xdr:to>
    <xdr:pic>
      <xdr:nvPicPr>
        <xdr:cNvPr id="23" name="Grafik 22">
          <a:extLst>
            <a:ext uri="{FF2B5EF4-FFF2-40B4-BE49-F238E27FC236}">
              <a16:creationId xmlns:a16="http://schemas.microsoft.com/office/drawing/2014/main" id="{7BAAA5F4-AF72-F7BD-74D0-15CB5F669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6324" y="18807206"/>
          <a:ext cx="7200900" cy="5384800"/>
        </a:xfrm>
        <a:prstGeom prst="rect">
          <a:avLst/>
        </a:prstGeom>
      </xdr:spPr>
    </xdr:pic>
    <xdr:clientData/>
  </xdr:twoCellAnchor>
  <xdr:twoCellAnchor editAs="oneCell">
    <xdr:from>
      <xdr:col>20</xdr:col>
      <xdr:colOff>205441</xdr:colOff>
      <xdr:row>90</xdr:row>
      <xdr:rowOff>74706</xdr:rowOff>
    </xdr:from>
    <xdr:to>
      <xdr:col>29</xdr:col>
      <xdr:colOff>23159</xdr:colOff>
      <xdr:row>116</xdr:row>
      <xdr:rowOff>118036</xdr:rowOff>
    </xdr:to>
    <xdr:pic>
      <xdr:nvPicPr>
        <xdr:cNvPr id="25" name="Grafik 24">
          <a:extLst>
            <a:ext uri="{FF2B5EF4-FFF2-40B4-BE49-F238E27FC236}">
              <a16:creationId xmlns:a16="http://schemas.microsoft.com/office/drawing/2014/main" id="{0AE8D776-7DDD-2FA6-DF6A-D42F8BED5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40735" y="18564412"/>
          <a:ext cx="7213600" cy="5384800"/>
        </a:xfrm>
        <a:prstGeom prst="rect">
          <a:avLst/>
        </a:prstGeom>
      </xdr:spPr>
    </xdr:pic>
    <xdr:clientData/>
  </xdr:twoCellAnchor>
  <xdr:twoCellAnchor editAs="oneCell">
    <xdr:from>
      <xdr:col>0</xdr:col>
      <xdr:colOff>186764</xdr:colOff>
      <xdr:row>121</xdr:row>
      <xdr:rowOff>37353</xdr:rowOff>
    </xdr:from>
    <xdr:to>
      <xdr:col>9</xdr:col>
      <xdr:colOff>4482</xdr:colOff>
      <xdr:row>147</xdr:row>
      <xdr:rowOff>80681</xdr:rowOff>
    </xdr:to>
    <xdr:pic>
      <xdr:nvPicPr>
        <xdr:cNvPr id="27" name="Grafik 26">
          <a:extLst>
            <a:ext uri="{FF2B5EF4-FFF2-40B4-BE49-F238E27FC236}">
              <a16:creationId xmlns:a16="http://schemas.microsoft.com/office/drawing/2014/main" id="{077FEF00-D223-7210-8390-783D11735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764" y="24895735"/>
          <a:ext cx="7213600" cy="53848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121</xdr:row>
      <xdr:rowOff>0</xdr:rowOff>
    </xdr:from>
    <xdr:to>
      <xdr:col>18</xdr:col>
      <xdr:colOff>639482</xdr:colOff>
      <xdr:row>147</xdr:row>
      <xdr:rowOff>43328</xdr:rowOff>
    </xdr:to>
    <xdr:pic>
      <xdr:nvPicPr>
        <xdr:cNvPr id="29" name="Grafik 28">
          <a:extLst>
            <a:ext uri="{FF2B5EF4-FFF2-40B4-BE49-F238E27FC236}">
              <a16:creationId xmlns:a16="http://schemas.microsoft.com/office/drawing/2014/main" id="{FC80095D-75F3-A371-359C-B42CA1112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7647" y="24858382"/>
          <a:ext cx="7213600" cy="5384800"/>
        </a:xfrm>
        <a:prstGeom prst="rect">
          <a:avLst/>
        </a:prstGeom>
      </xdr:spPr>
    </xdr:pic>
    <xdr:clientData/>
  </xdr:twoCellAnchor>
  <xdr:twoCellAnchor editAs="oneCell">
    <xdr:from>
      <xdr:col>20</xdr:col>
      <xdr:colOff>317500</xdr:colOff>
      <xdr:row>120</xdr:row>
      <xdr:rowOff>168088</xdr:rowOff>
    </xdr:from>
    <xdr:to>
      <xdr:col>29</xdr:col>
      <xdr:colOff>135218</xdr:colOff>
      <xdr:row>147</xdr:row>
      <xdr:rowOff>5975</xdr:rowOff>
    </xdr:to>
    <xdr:pic>
      <xdr:nvPicPr>
        <xdr:cNvPr id="31" name="Grafik 30">
          <a:extLst>
            <a:ext uri="{FF2B5EF4-FFF2-40B4-BE49-F238E27FC236}">
              <a16:creationId xmlns:a16="http://schemas.microsoft.com/office/drawing/2014/main" id="{27956ABC-5BD9-C696-8FEE-33614DC1D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52794" y="24821029"/>
          <a:ext cx="7213600" cy="5384800"/>
        </a:xfrm>
        <a:prstGeom prst="rect">
          <a:avLst/>
        </a:prstGeom>
      </xdr:spPr>
    </xdr:pic>
    <xdr:clientData/>
  </xdr:twoCellAnchor>
  <xdr:oneCellAnchor>
    <xdr:from>
      <xdr:col>34</xdr:col>
      <xdr:colOff>559610</xdr:colOff>
      <xdr:row>14</xdr:row>
      <xdr:rowOff>21618</xdr:rowOff>
    </xdr:from>
    <xdr:ext cx="44961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feld 31">
              <a:extLst>
                <a:ext uri="{FF2B5EF4-FFF2-40B4-BE49-F238E27FC236}">
                  <a16:creationId xmlns:a16="http://schemas.microsoft.com/office/drawing/2014/main" id="{AC2C4486-E86C-9D8C-80EA-8E10DE9168B9}"/>
                </a:ext>
              </a:extLst>
            </xdr:cNvPr>
            <xdr:cNvSpPr txBox="1"/>
          </xdr:nvSpPr>
          <xdr:spPr>
            <a:xfrm>
              <a:off x="31128510" y="2866418"/>
              <a:ext cx="44961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fr-CH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  <m:r>
                      <a:rPr lang="fr-CH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[</m:t>
                    </m:r>
                    <m:r>
                      <a:rPr lang="fr-CH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𝑔</m:t>
                    </m:r>
                    <m:r>
                      <a:rPr lang="fr-CH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32" name="Textfeld 31">
              <a:extLst>
                <a:ext uri="{FF2B5EF4-FFF2-40B4-BE49-F238E27FC236}">
                  <a16:creationId xmlns:a16="http://schemas.microsoft.com/office/drawing/2014/main" id="{AC2C4486-E86C-9D8C-80EA-8E10DE9168B9}"/>
                </a:ext>
              </a:extLst>
            </xdr:cNvPr>
            <xdr:cNvSpPr txBox="1"/>
          </xdr:nvSpPr>
          <xdr:spPr>
            <a:xfrm>
              <a:off x="31128510" y="2866418"/>
              <a:ext cx="44961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fr-CH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𝑚 [𝑔]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32</xdr:col>
      <xdr:colOff>71120</xdr:colOff>
      <xdr:row>85</xdr:row>
      <xdr:rowOff>50800</xdr:rowOff>
    </xdr:from>
    <xdr:ext cx="1153777" cy="2403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feld 13">
              <a:extLst>
                <a:ext uri="{FF2B5EF4-FFF2-40B4-BE49-F238E27FC236}">
                  <a16:creationId xmlns:a16="http://schemas.microsoft.com/office/drawing/2014/main" id="{3AF605F1-C99B-D36D-0F4B-A4D1868C3D89}"/>
                </a:ext>
              </a:extLst>
            </xdr:cNvPr>
            <xdr:cNvSpPr txBox="1"/>
          </xdr:nvSpPr>
          <xdr:spPr>
            <a:xfrm>
              <a:off x="27061480" y="17647737"/>
              <a:ext cx="1153777" cy="240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CH" sz="1100" b="0">
                  <a:ea typeface="+mn-ea"/>
                </a:rPr>
                <a:t>6012</a:t>
              </a:r>
              <a14:m>
                <m:oMath xmlns:m="http://schemas.openxmlformats.org/officeDocument/2006/math">
                  <m:r>
                    <a:rPr lang="fr-CH" sz="1100" b="0" i="0">
                      <a:latin typeface="Cambria Math" panose="02040503050406030204" pitchFamily="18" charset="0"/>
                      <a:ea typeface="+mn-ea"/>
                    </a:rPr>
                    <m:t>,10</m:t>
                  </m:r>
                  <m:r>
                    <a:rPr lang="fr-CH" sz="1100" b="0" i="1">
                      <a:latin typeface="Cambria Math" panose="02040503050406030204" pitchFamily="18" charset="0"/>
                      <a:ea typeface="+mn-ea"/>
                    </a:rPr>
                    <m:t> </m:t>
                  </m:r>
                  <m:r>
                    <a:rPr lang="fr-CH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±4,20</m:t>
                  </m:r>
                  <m:f>
                    <m:fPr>
                      <m:ctrlPr>
                        <a:rPr lang="fr-CH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fr-CH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𝐽</m:t>
                      </m:r>
                    </m:num>
                    <m:den>
                      <m:r>
                        <a:rPr lang="fr-CH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𝑚𝑜𝑙</m:t>
                      </m:r>
                    </m:den>
                  </m:f>
                </m:oMath>
              </a14:m>
              <a:endParaRPr lang="de-DE" sz="1100"/>
            </a:p>
          </xdr:txBody>
        </xdr:sp>
      </mc:Choice>
      <mc:Fallback xmlns="">
        <xdr:sp macro="" textlink="">
          <xdr:nvSpPr>
            <xdr:cNvPr id="14" name="Textfeld 13">
              <a:extLst>
                <a:ext uri="{FF2B5EF4-FFF2-40B4-BE49-F238E27FC236}">
                  <a16:creationId xmlns:a16="http://schemas.microsoft.com/office/drawing/2014/main" id="{3AF605F1-C99B-D36D-0F4B-A4D1868C3D89}"/>
                </a:ext>
              </a:extLst>
            </xdr:cNvPr>
            <xdr:cNvSpPr txBox="1"/>
          </xdr:nvSpPr>
          <xdr:spPr>
            <a:xfrm>
              <a:off x="27061480" y="17647737"/>
              <a:ext cx="1153777" cy="240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CH" sz="1100" b="0">
                  <a:ea typeface="+mn-ea"/>
                </a:rPr>
                <a:t>6012</a:t>
              </a:r>
              <a:r>
                <a:rPr lang="fr-CH" sz="1100" b="0" i="0">
                  <a:latin typeface="Cambria Math" panose="02040503050406030204" pitchFamily="18" charset="0"/>
                  <a:ea typeface="+mn-ea"/>
                </a:rPr>
                <a:t>,10 </a:t>
              </a:r>
              <a:r>
                <a:rPr lang="fr-CH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±4,20 𝐽/𝑚𝑜𝑙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32</xdr:col>
      <xdr:colOff>213360</xdr:colOff>
      <xdr:row>86</xdr:row>
      <xdr:rowOff>121920</xdr:rowOff>
    </xdr:from>
    <xdr:ext cx="101091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feld 15">
              <a:extLst>
                <a:ext uri="{FF2B5EF4-FFF2-40B4-BE49-F238E27FC236}">
                  <a16:creationId xmlns:a16="http://schemas.microsoft.com/office/drawing/2014/main" id="{6000541A-0FDE-2862-FE17-4C3F028C8069}"/>
                </a:ext>
              </a:extLst>
            </xdr:cNvPr>
            <xdr:cNvSpPr txBox="1"/>
          </xdr:nvSpPr>
          <xdr:spPr>
            <a:xfrm>
              <a:off x="27203720" y="18062100"/>
              <a:ext cx="101091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CH" sz="1100" b="0" i="1">
                        <a:latin typeface="Cambria Math" panose="02040503050406030204" pitchFamily="18" charset="0"/>
                      </a:rPr>
                      <m:t>273,24 </m:t>
                    </m:r>
                    <m:r>
                      <a:rPr lang="fr-CH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±0,10</m:t>
                    </m:r>
                    <m:r>
                      <a:rPr lang="fr-CH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16" name="Textfeld 15">
              <a:extLst>
                <a:ext uri="{FF2B5EF4-FFF2-40B4-BE49-F238E27FC236}">
                  <a16:creationId xmlns:a16="http://schemas.microsoft.com/office/drawing/2014/main" id="{6000541A-0FDE-2862-FE17-4C3F028C8069}"/>
                </a:ext>
              </a:extLst>
            </xdr:cNvPr>
            <xdr:cNvSpPr txBox="1"/>
          </xdr:nvSpPr>
          <xdr:spPr>
            <a:xfrm>
              <a:off x="27203720" y="18062100"/>
              <a:ext cx="101091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CH" sz="1100" b="0" i="0">
                  <a:latin typeface="Cambria Math" panose="02040503050406030204" pitchFamily="18" charset="0"/>
                </a:rPr>
                <a:t>273,24 </a:t>
              </a:r>
              <a:r>
                <a:rPr lang="fr-CH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±0,10𝐾</a:t>
              </a:r>
              <a:endParaRPr lang="de-DE" sz="1100"/>
            </a:p>
          </xdr:txBody>
        </xdr:sp>
      </mc:Fallback>
    </mc:AlternateContent>
    <xdr:clientData/>
  </xdr:oneCellAnchor>
  <xdr:twoCellAnchor editAs="oneCell">
    <xdr:from>
      <xdr:col>31</xdr:col>
      <xdr:colOff>0</xdr:colOff>
      <xdr:row>61</xdr:row>
      <xdr:rowOff>0</xdr:rowOff>
    </xdr:from>
    <xdr:to>
      <xdr:col>35</xdr:col>
      <xdr:colOff>120821</xdr:colOff>
      <xdr:row>82</xdr:row>
      <xdr:rowOff>145535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1CF0189F-A9E0-A5DD-1DF7-B5A19CAEA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43243" y="12654234"/>
          <a:ext cx="6299200" cy="4470400"/>
        </a:xfrm>
        <a:prstGeom prst="rect">
          <a:avLst/>
        </a:prstGeom>
      </xdr:spPr>
    </xdr:pic>
    <xdr:clientData/>
  </xdr:twoCellAnchor>
  <xdr:twoCellAnchor editAs="oneCell">
    <xdr:from>
      <xdr:col>30</xdr:col>
      <xdr:colOff>993914</xdr:colOff>
      <xdr:row>31</xdr:row>
      <xdr:rowOff>165652</xdr:rowOff>
    </xdr:from>
    <xdr:to>
      <xdr:col>35</xdr:col>
      <xdr:colOff>81723</xdr:colOff>
      <xdr:row>54</xdr:row>
      <xdr:rowOff>64052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E5267F45-C55C-12C8-738B-70C6CAD4D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41740" y="6327913"/>
          <a:ext cx="6299200" cy="4470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e.wikipedia.org/wiki/E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DAE9-E18C-7341-85C2-0150EE017C9C}">
  <dimension ref="A1:AS590"/>
  <sheetViews>
    <sheetView topLeftCell="X1" zoomScale="50" zoomScaleNormal="232" workbookViewId="0">
      <selection activeCell="AL2" sqref="AL2"/>
    </sheetView>
  </sheetViews>
  <sheetFormatPr baseColWidth="10" defaultRowHeight="16" x14ac:dyDescent="0.2"/>
  <cols>
    <col min="9" max="9" width="10.83203125" style="6"/>
    <col min="18" max="18" width="10.83203125" style="6"/>
    <col min="27" max="27" width="10.83203125" style="6"/>
    <col min="36" max="36" width="10.83203125" style="6"/>
  </cols>
  <sheetData>
    <row r="1" spans="1:45" x14ac:dyDescent="0.2">
      <c r="AL1" t="s">
        <v>8</v>
      </c>
    </row>
    <row r="2" spans="1:45" x14ac:dyDescent="0.2">
      <c r="A2" s="5" t="s">
        <v>0</v>
      </c>
      <c r="J2" s="5" t="s">
        <v>5</v>
      </c>
      <c r="S2" t="s">
        <v>4</v>
      </c>
      <c r="AB2" t="s">
        <v>6</v>
      </c>
    </row>
    <row r="3" spans="1:45" x14ac:dyDescent="0.2">
      <c r="A3" s="5" t="s">
        <v>1</v>
      </c>
      <c r="D3" t="s">
        <v>2</v>
      </c>
      <c r="G3" t="s">
        <v>3</v>
      </c>
      <c r="J3" s="5" t="s">
        <v>1</v>
      </c>
      <c r="M3" t="s">
        <v>2</v>
      </c>
      <c r="P3" t="s">
        <v>3</v>
      </c>
      <c r="S3" t="s">
        <v>1</v>
      </c>
      <c r="V3" t="s">
        <v>2</v>
      </c>
      <c r="Y3" t="s">
        <v>3</v>
      </c>
      <c r="AB3" t="s">
        <v>1</v>
      </c>
      <c r="AE3" t="s">
        <v>7</v>
      </c>
      <c r="AH3" t="s">
        <v>3</v>
      </c>
      <c r="AL3" t="s">
        <v>1</v>
      </c>
      <c r="AO3" t="s">
        <v>2</v>
      </c>
      <c r="AR3" t="s">
        <v>3</v>
      </c>
    </row>
    <row r="4" spans="1:45" x14ac:dyDescent="0.2">
      <c r="A4" s="5"/>
      <c r="J4" s="5"/>
    </row>
    <row r="5" spans="1:45" x14ac:dyDescent="0.2">
      <c r="A5" s="1">
        <v>1.5952</v>
      </c>
      <c r="B5" s="1">
        <v>20.986000000000001</v>
      </c>
      <c r="D5" s="1">
        <v>1.5287999999999999</v>
      </c>
      <c r="E5" s="1">
        <v>17.403500000000001</v>
      </c>
      <c r="G5" s="1">
        <v>1.5321100000000001</v>
      </c>
      <c r="H5" s="1">
        <v>16.18</v>
      </c>
      <c r="J5" s="1">
        <v>1.5322</v>
      </c>
      <c r="K5" s="1">
        <v>20.3125</v>
      </c>
      <c r="M5" s="1">
        <v>1.53104</v>
      </c>
      <c r="N5" s="1">
        <v>9.4375</v>
      </c>
      <c r="P5" s="1">
        <v>1.5290600000000001</v>
      </c>
      <c r="Q5" s="1">
        <v>7.9515000000000002</v>
      </c>
      <c r="S5" s="1">
        <v>1.5322</v>
      </c>
      <c r="T5" s="1">
        <v>7.8404999999999996</v>
      </c>
      <c r="V5" s="1">
        <v>1.52702</v>
      </c>
      <c r="W5" s="1">
        <v>7.3460000000000001</v>
      </c>
      <c r="Y5" s="1">
        <v>1.5320499999999999</v>
      </c>
      <c r="Z5" s="1">
        <v>10.6815</v>
      </c>
      <c r="AB5" s="1">
        <v>1.53041</v>
      </c>
      <c r="AC5" s="1">
        <v>9.6129999999999995</v>
      </c>
      <c r="AE5" s="1">
        <v>1.52959</v>
      </c>
      <c r="AF5" s="1">
        <v>10.6075</v>
      </c>
      <c r="AH5" s="1">
        <v>1.52823</v>
      </c>
      <c r="AI5" s="1">
        <v>4.7789999999999999</v>
      </c>
      <c r="AL5" s="1">
        <v>1.52885</v>
      </c>
      <c r="AM5" s="1">
        <v>17.792000000000002</v>
      </c>
      <c r="AO5" s="1">
        <v>1.53003</v>
      </c>
      <c r="AP5" s="1">
        <v>2.8580000000000001</v>
      </c>
      <c r="AR5" s="1">
        <v>1.5283800000000001</v>
      </c>
      <c r="AS5" s="1">
        <v>7.5149999999999997</v>
      </c>
    </row>
    <row r="6" spans="1:45" x14ac:dyDescent="0.2">
      <c r="A6" s="1">
        <v>2.7013799999999999</v>
      </c>
      <c r="B6" s="1">
        <v>20.984000000000002</v>
      </c>
      <c r="D6" s="1">
        <v>2.5358000000000001</v>
      </c>
      <c r="E6" s="1">
        <v>17.416499999999999</v>
      </c>
      <c r="G6" s="1">
        <v>2.5387400000000002</v>
      </c>
      <c r="H6" s="1">
        <v>16.209</v>
      </c>
      <c r="J6" s="1">
        <v>2.53661</v>
      </c>
      <c r="K6" s="1">
        <v>20.34</v>
      </c>
      <c r="M6" s="1">
        <v>2.5344099999999998</v>
      </c>
      <c r="N6" s="1">
        <v>9.4700000000000006</v>
      </c>
      <c r="P6" s="1">
        <v>2.53085</v>
      </c>
      <c r="Q6" s="1">
        <v>7.9690000000000003</v>
      </c>
      <c r="S6" s="1">
        <v>2.5373700000000001</v>
      </c>
      <c r="T6" s="1">
        <v>7.8585000000000003</v>
      </c>
      <c r="V6" s="1">
        <v>2.5347</v>
      </c>
      <c r="W6" s="1">
        <v>7.3879999999999999</v>
      </c>
      <c r="Y6" s="1">
        <v>2.5388500000000001</v>
      </c>
      <c r="Z6" s="1">
        <v>10.711499999999999</v>
      </c>
      <c r="AB6" s="1">
        <v>2.5347200000000001</v>
      </c>
      <c r="AC6" s="1">
        <v>9.6479999999999997</v>
      </c>
      <c r="AE6" s="1">
        <v>2.53295</v>
      </c>
      <c r="AF6" s="1">
        <v>10.673999999999999</v>
      </c>
      <c r="AH6" s="1">
        <v>2.5309499999999998</v>
      </c>
      <c r="AI6" s="1">
        <v>4.8525</v>
      </c>
      <c r="AL6" s="1">
        <v>2.5321600000000002</v>
      </c>
      <c r="AM6" s="1">
        <v>17.792999999999999</v>
      </c>
      <c r="AO6" s="1">
        <v>2.5324300000000002</v>
      </c>
      <c r="AP6" s="1">
        <v>2.8809999999999998</v>
      </c>
      <c r="AR6" s="1">
        <v>2.5319199999999999</v>
      </c>
      <c r="AS6" s="1">
        <v>7.5659999999999998</v>
      </c>
    </row>
    <row r="7" spans="1:45" x14ac:dyDescent="0.2">
      <c r="A7" s="1">
        <v>3.7067999999999999</v>
      </c>
      <c r="B7" s="1">
        <v>20.980499999999999</v>
      </c>
      <c r="D7" s="1">
        <v>3.53973</v>
      </c>
      <c r="E7" s="1">
        <v>17.422999999999998</v>
      </c>
      <c r="G7" s="1">
        <v>3.54528</v>
      </c>
      <c r="H7" s="1">
        <v>16.239000000000001</v>
      </c>
      <c r="J7" s="1">
        <v>3.5413399999999999</v>
      </c>
      <c r="K7" s="1">
        <v>20.369</v>
      </c>
      <c r="M7" s="1">
        <v>3.5382400000000001</v>
      </c>
      <c r="N7" s="1">
        <v>9.5065000000000008</v>
      </c>
      <c r="P7" s="1">
        <v>3.5349900000000001</v>
      </c>
      <c r="Q7" s="1">
        <v>7.99</v>
      </c>
      <c r="S7" s="1">
        <v>3.5474199999999998</v>
      </c>
      <c r="T7" s="1">
        <v>7.8680000000000003</v>
      </c>
      <c r="V7" s="1">
        <v>3.5419800000000001</v>
      </c>
      <c r="W7" s="1">
        <v>7.4305000000000003</v>
      </c>
      <c r="Y7" s="1">
        <v>3.5447000000000002</v>
      </c>
      <c r="Z7" s="1">
        <v>10.734500000000001</v>
      </c>
      <c r="AB7" s="1">
        <v>3.5426600000000001</v>
      </c>
      <c r="AC7" s="1">
        <v>9.6824999999999992</v>
      </c>
      <c r="AE7" s="1">
        <v>3.53904</v>
      </c>
      <c r="AF7" s="1">
        <v>10.728999999999999</v>
      </c>
      <c r="AH7" s="1">
        <v>3.5375899999999998</v>
      </c>
      <c r="AI7" s="1">
        <v>4.9245000000000001</v>
      </c>
      <c r="AL7" s="1">
        <v>3.5375800000000002</v>
      </c>
      <c r="AM7" s="1">
        <v>17.806000000000001</v>
      </c>
      <c r="AO7" s="1">
        <v>3.5374599999999998</v>
      </c>
      <c r="AP7" s="1">
        <v>2.9005000000000001</v>
      </c>
      <c r="AR7" s="1">
        <v>3.53904</v>
      </c>
      <c r="AS7" s="1">
        <v>7.6144999999999996</v>
      </c>
    </row>
    <row r="8" spans="1:45" x14ac:dyDescent="0.2">
      <c r="A8" s="1">
        <v>4.7100999999999997</v>
      </c>
      <c r="B8" s="1">
        <v>20.9785</v>
      </c>
      <c r="D8" s="1">
        <v>4.5433300000000001</v>
      </c>
      <c r="E8" s="1">
        <v>17.428000000000001</v>
      </c>
      <c r="G8" s="1">
        <v>4.5505899999999997</v>
      </c>
      <c r="H8" s="1">
        <v>16.2605</v>
      </c>
      <c r="J8" s="1">
        <v>4.54549</v>
      </c>
      <c r="K8" s="1">
        <v>20.389500000000002</v>
      </c>
      <c r="M8" s="1">
        <v>4.5424100000000003</v>
      </c>
      <c r="N8" s="1">
        <v>9.5350000000000001</v>
      </c>
      <c r="P8" s="1">
        <v>4.5436199999999998</v>
      </c>
      <c r="Q8" s="1">
        <v>8.0274999999999999</v>
      </c>
      <c r="S8" s="1">
        <v>4.5521500000000001</v>
      </c>
      <c r="T8" s="1">
        <v>7.8775000000000004</v>
      </c>
      <c r="V8" s="1">
        <v>4.5478899999999998</v>
      </c>
      <c r="W8" s="1">
        <v>7.4690000000000003</v>
      </c>
      <c r="Y8" s="1">
        <v>4.5532700000000004</v>
      </c>
      <c r="Z8" s="1">
        <v>10.7645</v>
      </c>
      <c r="AB8" s="1">
        <v>4.5493600000000001</v>
      </c>
      <c r="AC8" s="1">
        <v>9.718</v>
      </c>
      <c r="AE8" s="1">
        <v>4.5440300000000002</v>
      </c>
      <c r="AF8" s="1">
        <v>10.789</v>
      </c>
      <c r="AH8" s="1">
        <v>4.5453900000000003</v>
      </c>
      <c r="AI8" s="1">
        <v>4.9935</v>
      </c>
      <c r="AL8" s="1">
        <v>4.5463500000000003</v>
      </c>
      <c r="AM8" s="1">
        <v>17.812000000000001</v>
      </c>
      <c r="AO8" s="1">
        <v>4.5423499999999999</v>
      </c>
      <c r="AP8" s="1">
        <v>2.9119999999999999</v>
      </c>
      <c r="AR8" s="1">
        <v>4.5476200000000002</v>
      </c>
      <c r="AS8" s="1">
        <v>7.6544999999999996</v>
      </c>
    </row>
    <row r="9" spans="1:45" x14ac:dyDescent="0.2">
      <c r="A9" s="1">
        <v>5.7161900000000001</v>
      </c>
      <c r="B9" s="1">
        <v>20.980499999999999</v>
      </c>
      <c r="D9" s="1">
        <v>5.5485800000000003</v>
      </c>
      <c r="E9" s="1">
        <v>17.451499999999999</v>
      </c>
      <c r="G9" s="1">
        <v>5.5581899999999997</v>
      </c>
      <c r="H9" s="1">
        <v>16.285</v>
      </c>
      <c r="J9" s="1">
        <v>5.5495599999999996</v>
      </c>
      <c r="K9" s="1">
        <v>20.41</v>
      </c>
      <c r="M9" s="1">
        <v>5.5488299999999997</v>
      </c>
      <c r="N9" s="1">
        <v>9.5690000000000008</v>
      </c>
      <c r="P9" s="1">
        <v>5.5559399999999997</v>
      </c>
      <c r="Q9" s="1">
        <v>8.0495000000000001</v>
      </c>
      <c r="S9" s="1">
        <v>5.5567099999999998</v>
      </c>
      <c r="T9" s="1">
        <v>7.8840000000000003</v>
      </c>
      <c r="V9" s="1">
        <v>5.5544700000000002</v>
      </c>
      <c r="W9" s="1">
        <v>7.4939999999999998</v>
      </c>
      <c r="Y9" s="1">
        <v>5.5589899999999997</v>
      </c>
      <c r="Z9" s="1">
        <v>10.784000000000001</v>
      </c>
      <c r="AB9" s="1">
        <v>5.5541799999999997</v>
      </c>
      <c r="AC9" s="1">
        <v>9.7509999999999994</v>
      </c>
      <c r="AE9" s="1">
        <v>5.5494700000000003</v>
      </c>
      <c r="AF9" s="1">
        <v>10.842000000000001</v>
      </c>
      <c r="AH9" s="1">
        <v>5.5483500000000001</v>
      </c>
      <c r="AI9" s="1">
        <v>5.0625</v>
      </c>
      <c r="AL9" s="1">
        <v>5.5521900000000004</v>
      </c>
      <c r="AM9" s="1">
        <v>17.819500000000001</v>
      </c>
      <c r="AO9" s="1">
        <v>5.5505800000000001</v>
      </c>
      <c r="AP9" s="1">
        <v>2.9159999999999999</v>
      </c>
      <c r="AR9" s="1">
        <v>5.5526600000000004</v>
      </c>
      <c r="AS9" s="1">
        <v>7.7009999999999996</v>
      </c>
    </row>
    <row r="10" spans="1:45" x14ac:dyDescent="0.2">
      <c r="A10" s="1">
        <v>6.7193399999999999</v>
      </c>
      <c r="B10" s="1">
        <v>20.975999999999999</v>
      </c>
      <c r="D10" s="1">
        <v>6.5568</v>
      </c>
      <c r="E10" s="1">
        <v>17.466000000000001</v>
      </c>
      <c r="G10" s="1">
        <v>6.5625900000000001</v>
      </c>
      <c r="H10" s="1">
        <v>16.315000000000001</v>
      </c>
      <c r="J10" s="1">
        <v>6.55185</v>
      </c>
      <c r="K10" s="1">
        <v>20.425000000000001</v>
      </c>
      <c r="M10" s="1">
        <v>6.5553299999999997</v>
      </c>
      <c r="N10" s="1">
        <v>9.5954999999999995</v>
      </c>
      <c r="P10" s="1">
        <v>6.5646899999999997</v>
      </c>
      <c r="Q10" s="1">
        <v>8.08</v>
      </c>
      <c r="S10" s="1">
        <v>6.5618299999999996</v>
      </c>
      <c r="T10" s="1">
        <v>7.9009999999999998</v>
      </c>
      <c r="V10" s="1">
        <v>6.5591600000000003</v>
      </c>
      <c r="W10" s="1">
        <v>7.5285000000000002</v>
      </c>
      <c r="Y10" s="1">
        <v>6.5648400000000002</v>
      </c>
      <c r="Z10" s="1">
        <v>10.803000000000001</v>
      </c>
      <c r="AB10" s="1">
        <v>6.5604899999999997</v>
      </c>
      <c r="AC10" s="1">
        <v>9.7739999999999991</v>
      </c>
      <c r="AE10" s="1">
        <v>6.5579900000000002</v>
      </c>
      <c r="AF10" s="1">
        <v>10.891999999999999</v>
      </c>
      <c r="AH10" s="1">
        <v>6.55518</v>
      </c>
      <c r="AI10" s="1">
        <v>5.117</v>
      </c>
      <c r="AL10" s="1">
        <v>6.5565899999999999</v>
      </c>
      <c r="AM10" s="1">
        <v>17.829499999999999</v>
      </c>
      <c r="AO10" s="1">
        <v>6.5566199999999997</v>
      </c>
      <c r="AP10" s="1">
        <v>2.9215</v>
      </c>
      <c r="AR10" s="1">
        <v>6.5598700000000001</v>
      </c>
      <c r="AS10" s="1">
        <v>7.7394999999999996</v>
      </c>
    </row>
    <row r="11" spans="1:45" x14ac:dyDescent="0.2">
      <c r="A11" s="1">
        <v>7.7258199999999997</v>
      </c>
      <c r="B11" s="1">
        <v>20.972000000000001</v>
      </c>
      <c r="D11" s="1">
        <v>7.5636700000000001</v>
      </c>
      <c r="E11" s="1">
        <v>17.470500000000001</v>
      </c>
      <c r="G11" s="1">
        <v>7.5695499999999996</v>
      </c>
      <c r="H11" s="1">
        <v>16.336500000000001</v>
      </c>
      <c r="J11" s="1">
        <v>7.5543699999999996</v>
      </c>
      <c r="K11" s="1">
        <v>20.447500000000002</v>
      </c>
      <c r="M11" s="1">
        <v>7.5603300000000004</v>
      </c>
      <c r="N11" s="1">
        <v>9.6219999999999999</v>
      </c>
      <c r="P11" s="1">
        <v>7.5701799999999997</v>
      </c>
      <c r="Q11" s="1">
        <v>8.1024999999999991</v>
      </c>
      <c r="S11" s="1">
        <v>7.56881</v>
      </c>
      <c r="T11" s="1">
        <v>7.9184999999999999</v>
      </c>
      <c r="V11" s="1">
        <v>7.5635199999999996</v>
      </c>
      <c r="W11" s="1">
        <v>7.56</v>
      </c>
      <c r="Y11" s="1">
        <v>7.5711599999999999</v>
      </c>
      <c r="Z11" s="1">
        <v>10.826499999999999</v>
      </c>
      <c r="AB11" s="1">
        <v>7.5682600000000004</v>
      </c>
      <c r="AC11" s="1">
        <v>9.7965</v>
      </c>
      <c r="AE11" s="1">
        <v>7.56243</v>
      </c>
      <c r="AF11" s="1">
        <v>10.942</v>
      </c>
      <c r="AH11" s="1">
        <v>7.5640000000000001</v>
      </c>
      <c r="AI11" s="1">
        <v>5.165</v>
      </c>
      <c r="AL11" s="1">
        <v>7.5639799999999999</v>
      </c>
      <c r="AM11" s="1">
        <v>17.835000000000001</v>
      </c>
      <c r="AO11" s="1">
        <v>7.5622199999999999</v>
      </c>
      <c r="AP11" s="1">
        <v>2.9209999999999998</v>
      </c>
      <c r="AR11" s="1">
        <v>7.5680899999999998</v>
      </c>
      <c r="AS11" s="1">
        <v>7.7809999999999997</v>
      </c>
    </row>
    <row r="12" spans="1:45" x14ac:dyDescent="0.2">
      <c r="A12" s="1">
        <v>8.7295200000000008</v>
      </c>
      <c r="B12" s="1">
        <v>20.972999999999999</v>
      </c>
      <c r="D12" s="1">
        <v>8.5708500000000001</v>
      </c>
      <c r="E12" s="1">
        <v>17.487500000000001</v>
      </c>
      <c r="G12" s="1">
        <v>8.5741700000000005</v>
      </c>
      <c r="H12" s="1">
        <v>16.357500000000002</v>
      </c>
      <c r="J12" s="1">
        <v>8.5611599999999992</v>
      </c>
      <c r="K12" s="1">
        <v>20.4665</v>
      </c>
      <c r="M12" s="1">
        <v>8.5651200000000003</v>
      </c>
      <c r="N12" s="1">
        <v>9.6445000000000007</v>
      </c>
      <c r="P12" s="1">
        <v>8.5759299999999996</v>
      </c>
      <c r="Q12" s="1">
        <v>8.1170000000000009</v>
      </c>
      <c r="S12" s="1">
        <v>8.5778499999999998</v>
      </c>
      <c r="T12" s="1">
        <v>7.93</v>
      </c>
      <c r="V12" s="1">
        <v>8.5670099999999998</v>
      </c>
      <c r="W12" s="1">
        <v>7.5914999999999999</v>
      </c>
      <c r="Y12" s="1">
        <v>8.5768000000000004</v>
      </c>
      <c r="Z12" s="1">
        <v>10.8505</v>
      </c>
      <c r="AB12" s="1">
        <v>8.5710599999999992</v>
      </c>
      <c r="AC12" s="1">
        <v>9.8254999999999999</v>
      </c>
      <c r="AE12" s="1">
        <v>8.5673100000000009</v>
      </c>
      <c r="AF12" s="1">
        <v>10.978999999999999</v>
      </c>
      <c r="AH12" s="1">
        <v>8.5700199999999995</v>
      </c>
      <c r="AI12" s="1">
        <v>5.2035</v>
      </c>
      <c r="AL12" s="1">
        <v>8.5677000000000003</v>
      </c>
      <c r="AM12" s="1">
        <v>17.829000000000001</v>
      </c>
      <c r="AO12" s="1">
        <v>8.5667100000000005</v>
      </c>
      <c r="AP12" s="1">
        <v>2.9049999999999998</v>
      </c>
      <c r="AR12" s="1">
        <v>8.5737799999999993</v>
      </c>
      <c r="AS12" s="1">
        <v>7.8079999999999998</v>
      </c>
    </row>
    <row r="13" spans="1:45" x14ac:dyDescent="0.2">
      <c r="A13" s="1">
        <v>9.7357899999999997</v>
      </c>
      <c r="B13" s="1">
        <v>20.966000000000001</v>
      </c>
      <c r="D13" s="1">
        <v>9.5760000000000005</v>
      </c>
      <c r="E13" s="1">
        <v>17.4925</v>
      </c>
      <c r="G13" s="1">
        <v>9.5808499999999999</v>
      </c>
      <c r="H13" s="1">
        <v>16.38</v>
      </c>
      <c r="J13" s="1">
        <v>9.5672999999999995</v>
      </c>
      <c r="K13" s="1">
        <v>20.477</v>
      </c>
      <c r="M13" s="1">
        <v>9.5711300000000001</v>
      </c>
      <c r="N13" s="1">
        <v>9.6760000000000002</v>
      </c>
      <c r="P13" s="1">
        <v>9.5843000000000007</v>
      </c>
      <c r="Q13" s="1">
        <v>8.1415000000000006</v>
      </c>
      <c r="S13" s="1">
        <v>9.5836699999999997</v>
      </c>
      <c r="T13" s="1">
        <v>7.9409999999999998</v>
      </c>
      <c r="V13" s="1">
        <v>9.5727100000000007</v>
      </c>
      <c r="W13" s="1">
        <v>7.6174999999999997</v>
      </c>
      <c r="Y13" s="1">
        <v>9.5832499999999996</v>
      </c>
      <c r="Z13" s="1">
        <v>10.862</v>
      </c>
      <c r="AB13" s="1">
        <v>9.5786899999999999</v>
      </c>
      <c r="AC13" s="1">
        <v>9.843</v>
      </c>
      <c r="AE13" s="1">
        <v>9.5698600000000003</v>
      </c>
      <c r="AF13" s="1">
        <v>11.023</v>
      </c>
      <c r="AH13" s="1">
        <v>9.5764700000000005</v>
      </c>
      <c r="AI13" s="1">
        <v>5.2484999999999999</v>
      </c>
      <c r="AL13" s="1">
        <v>9.5737500000000004</v>
      </c>
      <c r="AM13" s="1">
        <v>17.832999999999998</v>
      </c>
      <c r="AO13" s="1">
        <v>9.5732499999999998</v>
      </c>
      <c r="AP13" s="1">
        <v>2.8889999999999998</v>
      </c>
      <c r="AR13" s="1">
        <v>9.5810899999999997</v>
      </c>
      <c r="AS13" s="1">
        <v>7.8390000000000004</v>
      </c>
    </row>
    <row r="14" spans="1:45" x14ac:dyDescent="0.2">
      <c r="A14" s="1">
        <v>10.740500000000001</v>
      </c>
      <c r="B14" s="1">
        <v>20.960999999999999</v>
      </c>
      <c r="D14" s="1">
        <v>10.5816</v>
      </c>
      <c r="E14" s="1">
        <v>17.496500000000001</v>
      </c>
      <c r="G14" s="1">
        <v>10.585000000000001</v>
      </c>
      <c r="H14" s="1">
        <v>16.391500000000001</v>
      </c>
      <c r="J14" s="1">
        <v>10.5745</v>
      </c>
      <c r="K14" s="1">
        <v>20.486499999999999</v>
      </c>
      <c r="M14" s="1">
        <v>10.576499999999999</v>
      </c>
      <c r="N14" s="1">
        <v>9.6940000000000008</v>
      </c>
      <c r="P14" s="1">
        <v>10.589600000000001</v>
      </c>
      <c r="Q14" s="1">
        <v>8.1694999999999993</v>
      </c>
      <c r="S14" s="1">
        <v>10.5877</v>
      </c>
      <c r="T14" s="1">
        <v>7.9480000000000004</v>
      </c>
      <c r="V14" s="1">
        <v>10.5794</v>
      </c>
      <c r="W14" s="1">
        <v>7.641</v>
      </c>
      <c r="Y14" s="1">
        <v>10.5875</v>
      </c>
      <c r="Z14" s="1">
        <v>10.8795</v>
      </c>
      <c r="AB14" s="1">
        <v>10.5845</v>
      </c>
      <c r="AC14" s="1">
        <v>9.8550000000000004</v>
      </c>
      <c r="AE14" s="1">
        <v>10.5741</v>
      </c>
      <c r="AF14" s="1">
        <v>11.057499999999999</v>
      </c>
      <c r="AH14" s="1">
        <v>10.5839</v>
      </c>
      <c r="AI14" s="1">
        <v>5.2930000000000001</v>
      </c>
      <c r="AL14" s="1">
        <v>10.582599999999999</v>
      </c>
      <c r="AM14" s="1">
        <v>17.827000000000002</v>
      </c>
      <c r="AO14" s="1">
        <v>10.5787</v>
      </c>
      <c r="AP14" s="1">
        <v>2.8675000000000002</v>
      </c>
      <c r="AR14" s="1">
        <v>10.586399999999999</v>
      </c>
      <c r="AS14" s="1">
        <v>7.8715000000000002</v>
      </c>
    </row>
    <row r="15" spans="1:45" x14ac:dyDescent="0.2">
      <c r="A15" s="1">
        <v>11.7461</v>
      </c>
      <c r="B15" s="1">
        <v>20.9575</v>
      </c>
      <c r="D15" s="1">
        <v>11.5878</v>
      </c>
      <c r="E15" s="1">
        <v>17.503</v>
      </c>
      <c r="G15" s="1">
        <v>11.5899</v>
      </c>
      <c r="H15" s="1">
        <v>16.4055</v>
      </c>
      <c r="J15" s="1">
        <v>11.5768</v>
      </c>
      <c r="K15" s="1">
        <v>20.5</v>
      </c>
      <c r="M15" s="1">
        <v>11.580399999999999</v>
      </c>
      <c r="N15" s="1">
        <v>9.7114999999999991</v>
      </c>
      <c r="P15" s="1">
        <v>11.597899999999999</v>
      </c>
      <c r="Q15" s="1">
        <v>8.1854999999999993</v>
      </c>
      <c r="S15" s="1">
        <v>11.591699999999999</v>
      </c>
      <c r="T15" s="1">
        <v>7.9574999999999996</v>
      </c>
      <c r="V15" s="1">
        <v>11.5844</v>
      </c>
      <c r="W15" s="1">
        <v>7.6665000000000001</v>
      </c>
      <c r="Y15" s="1">
        <v>11.592499999999999</v>
      </c>
      <c r="Z15" s="1">
        <v>10.888</v>
      </c>
      <c r="AB15" s="1">
        <v>11.589700000000001</v>
      </c>
      <c r="AC15" s="1">
        <v>9.8755000000000006</v>
      </c>
      <c r="AE15" s="1">
        <v>11.5809</v>
      </c>
      <c r="AF15" s="1">
        <v>11.093</v>
      </c>
      <c r="AH15" s="1">
        <v>11.5886</v>
      </c>
      <c r="AI15" s="1">
        <v>5.3289999999999997</v>
      </c>
      <c r="AL15" s="1">
        <v>11.5892</v>
      </c>
      <c r="AM15" s="1">
        <v>17.812999999999999</v>
      </c>
      <c r="AO15" s="1">
        <v>11.5878</v>
      </c>
      <c r="AP15" s="1">
        <v>2.8405</v>
      </c>
      <c r="AR15" s="1">
        <v>11.594900000000001</v>
      </c>
      <c r="AS15" s="1">
        <v>7.883</v>
      </c>
    </row>
    <row r="16" spans="1:45" x14ac:dyDescent="0.2">
      <c r="A16" s="1">
        <v>12.7506</v>
      </c>
      <c r="B16" s="1">
        <v>20.946999999999999</v>
      </c>
      <c r="D16" s="1">
        <v>12.594799999999999</v>
      </c>
      <c r="E16" s="1">
        <v>17.512</v>
      </c>
      <c r="G16" s="1">
        <v>12.5953</v>
      </c>
      <c r="H16" s="1">
        <v>16.432500000000001</v>
      </c>
      <c r="J16" s="1">
        <v>12.5822</v>
      </c>
      <c r="K16" s="1">
        <v>20.507999999999999</v>
      </c>
      <c r="M16" s="1">
        <v>12.585699999999999</v>
      </c>
      <c r="N16" s="1">
        <v>9.7255000000000003</v>
      </c>
      <c r="P16" s="1">
        <v>12.6043</v>
      </c>
      <c r="Q16" s="1">
        <v>8.1959999999999997</v>
      </c>
      <c r="S16" s="1">
        <v>12.598100000000001</v>
      </c>
      <c r="T16" s="1">
        <v>7.9604999999999997</v>
      </c>
      <c r="V16" s="1">
        <v>12.589399999999999</v>
      </c>
      <c r="W16" s="1">
        <v>7.6835000000000004</v>
      </c>
      <c r="Y16" s="1">
        <v>12.5976</v>
      </c>
      <c r="Z16" s="1">
        <v>10.8965</v>
      </c>
      <c r="AB16" s="1">
        <v>12.5932</v>
      </c>
      <c r="AC16" s="1">
        <v>9.89</v>
      </c>
      <c r="AE16" s="1">
        <v>12.587400000000001</v>
      </c>
      <c r="AF16" s="1">
        <v>11.118</v>
      </c>
      <c r="AH16" s="1">
        <v>12.5947</v>
      </c>
      <c r="AI16" s="1">
        <v>5.3464999999999998</v>
      </c>
      <c r="AL16" s="1">
        <v>12.5947</v>
      </c>
      <c r="AM16" s="1">
        <v>17.788499999999999</v>
      </c>
      <c r="AO16" s="1">
        <v>12.5924</v>
      </c>
      <c r="AP16" s="1">
        <v>2.8069999999999999</v>
      </c>
      <c r="AR16" s="1">
        <v>12.602600000000001</v>
      </c>
      <c r="AS16" s="1">
        <v>7.9055</v>
      </c>
    </row>
    <row r="17" spans="1:45" x14ac:dyDescent="0.2">
      <c r="A17" s="1">
        <v>13.7553</v>
      </c>
      <c r="B17" s="1">
        <v>20.938500000000001</v>
      </c>
      <c r="D17" s="1">
        <v>13.598000000000001</v>
      </c>
      <c r="E17" s="1">
        <v>17.515999999999998</v>
      </c>
      <c r="G17" s="1">
        <v>13.6</v>
      </c>
      <c r="H17" s="1">
        <v>16.440999999999999</v>
      </c>
      <c r="J17" s="1">
        <v>13.586600000000001</v>
      </c>
      <c r="K17" s="1">
        <v>20.5185</v>
      </c>
      <c r="M17" s="1">
        <v>13.5937</v>
      </c>
      <c r="N17" s="1">
        <v>9.7355</v>
      </c>
      <c r="P17" s="1">
        <v>13.6113</v>
      </c>
      <c r="Q17" s="1">
        <v>8.2144999999999992</v>
      </c>
      <c r="S17" s="1">
        <v>13.602</v>
      </c>
      <c r="T17" s="1">
        <v>7.9664999999999999</v>
      </c>
      <c r="V17" s="1">
        <v>13.5937</v>
      </c>
      <c r="W17" s="1">
        <v>7.6905000000000001</v>
      </c>
      <c r="Y17" s="1">
        <v>13.603300000000001</v>
      </c>
      <c r="Z17" s="1">
        <v>10.8925</v>
      </c>
      <c r="AB17" s="1">
        <v>13.5975</v>
      </c>
      <c r="AC17" s="1">
        <v>9.9079999999999995</v>
      </c>
      <c r="AE17" s="1">
        <v>13.592499999999999</v>
      </c>
      <c r="AF17" s="1">
        <v>11.137499999999999</v>
      </c>
      <c r="AH17" s="1">
        <v>13.599</v>
      </c>
      <c r="AI17" s="1">
        <v>5.3550000000000004</v>
      </c>
      <c r="AL17" s="1">
        <v>13.6007</v>
      </c>
      <c r="AM17" s="1">
        <v>17.763000000000002</v>
      </c>
      <c r="AO17" s="1">
        <v>13.600199999999999</v>
      </c>
      <c r="AP17" s="1">
        <v>2.774</v>
      </c>
      <c r="AR17" s="1">
        <v>13.6074</v>
      </c>
      <c r="AS17" s="1">
        <v>7.9180000000000001</v>
      </c>
    </row>
    <row r="18" spans="1:45" x14ac:dyDescent="0.2">
      <c r="A18" s="1">
        <v>14.7598</v>
      </c>
      <c r="B18" s="1">
        <v>20.937000000000001</v>
      </c>
      <c r="D18" s="1">
        <v>14.602499999999999</v>
      </c>
      <c r="E18" s="1">
        <v>17.526</v>
      </c>
      <c r="G18" s="1">
        <v>14.603999999999999</v>
      </c>
      <c r="H18" s="1">
        <v>16.461500000000001</v>
      </c>
      <c r="J18" s="1">
        <v>14.591699999999999</v>
      </c>
      <c r="K18" s="1">
        <v>20.524999999999999</v>
      </c>
      <c r="M18" s="1">
        <v>14.603199999999999</v>
      </c>
      <c r="N18" s="1">
        <v>9.7430000000000003</v>
      </c>
      <c r="P18" s="1">
        <v>14.6168</v>
      </c>
      <c r="Q18" s="1">
        <v>8.2355</v>
      </c>
      <c r="S18" s="1">
        <v>14.607900000000001</v>
      </c>
      <c r="T18" s="1">
        <v>7.9625000000000004</v>
      </c>
      <c r="V18" s="1">
        <v>14.601800000000001</v>
      </c>
      <c r="W18" s="1">
        <v>7.7060000000000004</v>
      </c>
      <c r="Y18" s="1">
        <v>14.609500000000001</v>
      </c>
      <c r="Z18" s="1">
        <v>10.888999999999999</v>
      </c>
      <c r="AB18" s="1">
        <v>14.6</v>
      </c>
      <c r="AC18" s="1">
        <v>9.9265000000000008</v>
      </c>
      <c r="AE18" s="1">
        <v>14.5974</v>
      </c>
      <c r="AF18" s="1">
        <v>11.1515</v>
      </c>
      <c r="AH18" s="1">
        <v>14.604699999999999</v>
      </c>
      <c r="AI18" s="1">
        <v>5.3605</v>
      </c>
      <c r="AL18" s="1">
        <v>14.606</v>
      </c>
      <c r="AM18" s="1">
        <v>17.728000000000002</v>
      </c>
      <c r="AO18" s="1">
        <v>14.605399999999999</v>
      </c>
      <c r="AP18" s="1">
        <v>2.7385000000000002</v>
      </c>
      <c r="AR18" s="1">
        <v>14.613</v>
      </c>
      <c r="AS18" s="1">
        <v>7.9135</v>
      </c>
    </row>
    <row r="19" spans="1:45" x14ac:dyDescent="0.2">
      <c r="A19" s="1">
        <v>15.7658</v>
      </c>
      <c r="B19" s="1">
        <v>20.930499999999999</v>
      </c>
      <c r="D19" s="1">
        <v>15.609400000000001</v>
      </c>
      <c r="E19" s="1">
        <v>17.5305</v>
      </c>
      <c r="G19" s="1">
        <v>15.610300000000001</v>
      </c>
      <c r="H19" s="1">
        <v>16.47</v>
      </c>
      <c r="J19" s="1">
        <v>15.5999</v>
      </c>
      <c r="K19" s="1">
        <v>20.522500000000001</v>
      </c>
      <c r="M19" s="1">
        <v>15.6111</v>
      </c>
      <c r="N19" s="1">
        <v>9.7575000000000003</v>
      </c>
      <c r="P19" s="1">
        <v>15.620900000000001</v>
      </c>
      <c r="Q19" s="1">
        <v>8.2420000000000009</v>
      </c>
      <c r="S19" s="1">
        <v>15.613</v>
      </c>
      <c r="T19" s="1">
        <v>7.9640000000000004</v>
      </c>
      <c r="V19" s="1">
        <v>15.608499999999999</v>
      </c>
      <c r="W19" s="1">
        <v>7.7069999999999999</v>
      </c>
      <c r="Y19" s="1">
        <v>15.6153</v>
      </c>
      <c r="Z19" s="1">
        <v>10.874000000000001</v>
      </c>
      <c r="AB19" s="1">
        <v>15.6043</v>
      </c>
      <c r="AC19" s="1">
        <v>9.9420000000000002</v>
      </c>
      <c r="AE19" s="1">
        <v>15.6028</v>
      </c>
      <c r="AF19" s="1">
        <v>11.153499999999999</v>
      </c>
      <c r="AH19" s="1">
        <v>15.610099999999999</v>
      </c>
      <c r="AI19" s="1">
        <v>5.3654999999999999</v>
      </c>
      <c r="AL19" s="1">
        <v>15.6127</v>
      </c>
      <c r="AM19" s="1">
        <v>17.690999999999999</v>
      </c>
      <c r="AO19" s="1">
        <v>15.6122</v>
      </c>
      <c r="AP19" s="1">
        <v>2.6989999999999998</v>
      </c>
      <c r="AR19" s="1">
        <v>15.6173</v>
      </c>
      <c r="AS19" s="1">
        <v>7.8944999999999999</v>
      </c>
    </row>
    <row r="20" spans="1:45" x14ac:dyDescent="0.2">
      <c r="A20" s="1">
        <v>16.771000000000001</v>
      </c>
      <c r="B20" s="1">
        <v>20.929500000000001</v>
      </c>
      <c r="D20" s="1">
        <v>16.615400000000001</v>
      </c>
      <c r="E20" s="1">
        <v>17.524000000000001</v>
      </c>
      <c r="G20" s="1">
        <v>16.6187</v>
      </c>
      <c r="H20" s="1">
        <v>16.464500000000001</v>
      </c>
      <c r="J20" s="1">
        <v>16.605899999999998</v>
      </c>
      <c r="K20" s="1">
        <v>20.518999999999998</v>
      </c>
      <c r="M20" s="1">
        <v>16.619599999999998</v>
      </c>
      <c r="N20" s="1">
        <v>9.77</v>
      </c>
      <c r="P20" s="1">
        <v>16.624700000000001</v>
      </c>
      <c r="Q20" s="1">
        <v>8.2579999999999991</v>
      </c>
      <c r="S20" s="1">
        <v>16.619299999999999</v>
      </c>
      <c r="T20" s="1">
        <v>7.9515000000000002</v>
      </c>
      <c r="V20" s="1">
        <v>16.615600000000001</v>
      </c>
      <c r="W20" s="1">
        <v>7.7009999999999996</v>
      </c>
      <c r="Y20" s="1">
        <v>16.6251</v>
      </c>
      <c r="Z20" s="1">
        <v>10.855</v>
      </c>
      <c r="AB20" s="1">
        <v>16.610199999999999</v>
      </c>
      <c r="AC20" s="1">
        <v>9.9459999999999997</v>
      </c>
      <c r="AE20" s="1">
        <v>16.608000000000001</v>
      </c>
      <c r="AF20" s="1">
        <v>11.1525</v>
      </c>
      <c r="AH20" s="1">
        <v>16.615500000000001</v>
      </c>
      <c r="AI20" s="1">
        <v>5.3544999999999998</v>
      </c>
      <c r="AL20" s="1">
        <v>16.620699999999999</v>
      </c>
      <c r="AM20" s="1">
        <v>17.635999999999999</v>
      </c>
      <c r="AO20" s="1">
        <v>16.621099999999998</v>
      </c>
      <c r="AP20" s="1">
        <v>2.6535000000000002</v>
      </c>
      <c r="AR20" s="1">
        <v>16.623000000000001</v>
      </c>
      <c r="AS20" s="1">
        <v>7.8914999999999997</v>
      </c>
    </row>
    <row r="21" spans="1:45" x14ac:dyDescent="0.2">
      <c r="A21" s="1">
        <v>17.776599999999998</v>
      </c>
      <c r="B21" s="1">
        <v>20.909500000000001</v>
      </c>
      <c r="D21" s="1">
        <v>17.6221</v>
      </c>
      <c r="E21" s="1">
        <v>17.529</v>
      </c>
      <c r="G21" s="1">
        <v>17.620799999999999</v>
      </c>
      <c r="H21" s="1">
        <v>16.471499999999999</v>
      </c>
      <c r="J21" s="1">
        <v>17.611799999999999</v>
      </c>
      <c r="K21" s="1">
        <v>20.516999999999999</v>
      </c>
      <c r="M21" s="1">
        <v>17.625399999999999</v>
      </c>
      <c r="N21" s="1">
        <v>9.7805</v>
      </c>
      <c r="P21" s="1">
        <v>17.628799999999998</v>
      </c>
      <c r="Q21" s="1">
        <v>8.2565000000000008</v>
      </c>
      <c r="S21" s="1">
        <v>17.626100000000001</v>
      </c>
      <c r="T21" s="1">
        <v>7.9320000000000004</v>
      </c>
      <c r="V21" s="1">
        <v>17.623999999999999</v>
      </c>
      <c r="W21" s="1">
        <v>7.7</v>
      </c>
      <c r="Y21" s="1">
        <v>17.629000000000001</v>
      </c>
      <c r="Z21" s="1">
        <v>10.8315</v>
      </c>
      <c r="AB21" s="1">
        <v>17.6172</v>
      </c>
      <c r="AC21" s="1">
        <v>9.9565000000000001</v>
      </c>
      <c r="AE21" s="1">
        <v>17.612400000000001</v>
      </c>
      <c r="AF21" s="1">
        <v>11.14</v>
      </c>
      <c r="AH21" s="1">
        <v>17.6233</v>
      </c>
      <c r="AI21" s="1">
        <v>5.3380000000000001</v>
      </c>
      <c r="AL21" s="1">
        <v>17.625399999999999</v>
      </c>
      <c r="AM21" s="1">
        <v>17.584499999999998</v>
      </c>
      <c r="AO21" s="1">
        <v>17.6279</v>
      </c>
      <c r="AP21" s="1">
        <v>2.6004999999999998</v>
      </c>
      <c r="AR21" s="1">
        <v>17.6326</v>
      </c>
      <c r="AS21" s="1">
        <v>7.8624999999999998</v>
      </c>
    </row>
    <row r="22" spans="1:45" x14ac:dyDescent="0.2">
      <c r="A22" s="1">
        <v>18.7807</v>
      </c>
      <c r="B22" s="1">
        <v>20.894500000000001</v>
      </c>
      <c r="D22" s="1">
        <v>18.628499999999999</v>
      </c>
      <c r="E22" s="1">
        <v>17.53</v>
      </c>
      <c r="G22" s="1">
        <v>18.627300000000002</v>
      </c>
      <c r="H22" s="1">
        <v>16.460999999999999</v>
      </c>
      <c r="J22" s="1">
        <v>18.618099999999998</v>
      </c>
      <c r="K22" s="1">
        <v>20.502500000000001</v>
      </c>
      <c r="M22" s="1">
        <v>18.628900000000002</v>
      </c>
      <c r="N22" s="1">
        <v>9.7899999999999991</v>
      </c>
      <c r="P22" s="1">
        <v>18.6343</v>
      </c>
      <c r="Q22" s="1">
        <v>8.2579999999999991</v>
      </c>
      <c r="S22" s="1">
        <v>18.6312</v>
      </c>
      <c r="T22" s="1">
        <v>7.9195000000000002</v>
      </c>
      <c r="V22" s="1">
        <v>18.628799999999998</v>
      </c>
      <c r="W22" s="1">
        <v>7.6840000000000002</v>
      </c>
      <c r="Y22" s="1">
        <v>18.632899999999999</v>
      </c>
      <c r="Z22" s="1">
        <v>10.795500000000001</v>
      </c>
      <c r="AB22" s="1">
        <v>18.623100000000001</v>
      </c>
      <c r="AC22" s="1">
        <v>9.9659999999999993</v>
      </c>
      <c r="AE22" s="1">
        <v>18.617899999999999</v>
      </c>
      <c r="AF22" s="1">
        <v>11.1175</v>
      </c>
      <c r="AH22" s="1">
        <v>18.631</v>
      </c>
      <c r="AI22" s="1">
        <v>5.3105000000000002</v>
      </c>
      <c r="AL22" s="1">
        <v>18.631699999999999</v>
      </c>
      <c r="AM22" s="1">
        <v>17.516999999999999</v>
      </c>
      <c r="AO22" s="1">
        <v>18.632200000000001</v>
      </c>
      <c r="AP22" s="1">
        <v>2.5499999999999998</v>
      </c>
      <c r="AR22" s="1">
        <v>18.640599999999999</v>
      </c>
      <c r="AS22" s="1">
        <v>7.8384999999999998</v>
      </c>
    </row>
    <row r="23" spans="1:45" x14ac:dyDescent="0.2">
      <c r="A23" s="1">
        <v>19.788900000000002</v>
      </c>
      <c r="B23" s="1">
        <v>20.882000000000001</v>
      </c>
      <c r="D23" s="1">
        <v>19.6356</v>
      </c>
      <c r="E23" s="1">
        <v>17.5245</v>
      </c>
      <c r="G23" s="1">
        <v>19.635100000000001</v>
      </c>
      <c r="H23" s="1">
        <v>16.4495</v>
      </c>
      <c r="J23" s="1">
        <v>19.625800000000002</v>
      </c>
      <c r="K23" s="1">
        <v>20.481999999999999</v>
      </c>
      <c r="M23" s="1">
        <v>19.6325</v>
      </c>
      <c r="N23" s="1">
        <v>9.7919999999999998</v>
      </c>
      <c r="P23" s="1">
        <v>19.638400000000001</v>
      </c>
      <c r="Q23" s="1">
        <v>8.2614999999999998</v>
      </c>
      <c r="S23" s="1">
        <v>19.634799999999998</v>
      </c>
      <c r="T23" s="1">
        <v>7.891</v>
      </c>
      <c r="V23" s="1">
        <v>19.636199999999999</v>
      </c>
      <c r="W23" s="1">
        <v>7.6719999999999997</v>
      </c>
      <c r="Y23" s="1">
        <v>19.637699999999999</v>
      </c>
      <c r="Z23" s="1">
        <v>10.771000000000001</v>
      </c>
      <c r="AB23" s="1">
        <v>19.6281</v>
      </c>
      <c r="AC23" s="1">
        <v>9.9629999999999992</v>
      </c>
      <c r="AE23" s="1">
        <v>19.6251</v>
      </c>
      <c r="AF23" s="1">
        <v>11.0985</v>
      </c>
      <c r="AH23" s="1">
        <v>19.6404</v>
      </c>
      <c r="AI23" s="1">
        <v>5.28</v>
      </c>
      <c r="AL23" s="1">
        <v>19.6373</v>
      </c>
      <c r="AM23" s="1">
        <v>17.4435</v>
      </c>
      <c r="AO23" s="1">
        <v>19.636299999999999</v>
      </c>
      <c r="AP23" s="1">
        <v>2.5005000000000002</v>
      </c>
      <c r="AR23" s="1">
        <v>19.645299999999999</v>
      </c>
      <c r="AS23" s="1">
        <v>7.8025000000000002</v>
      </c>
    </row>
    <row r="24" spans="1:45" x14ac:dyDescent="0.2">
      <c r="A24" s="1">
        <v>20.795200000000001</v>
      </c>
      <c r="B24" s="1">
        <v>20.857500000000002</v>
      </c>
      <c r="D24" s="1">
        <v>20.6418</v>
      </c>
      <c r="E24" s="1">
        <v>17.521000000000001</v>
      </c>
      <c r="G24" s="1">
        <v>20.6404</v>
      </c>
      <c r="H24" s="1">
        <v>16.428999999999998</v>
      </c>
      <c r="J24" s="1">
        <v>20.6312</v>
      </c>
      <c r="K24" s="1">
        <v>20.4575</v>
      </c>
      <c r="M24" s="1">
        <v>20.636299999999999</v>
      </c>
      <c r="N24" s="1">
        <v>9.8055000000000003</v>
      </c>
      <c r="P24" s="1">
        <v>20.645800000000001</v>
      </c>
      <c r="Q24" s="1">
        <v>8.2479999999999993</v>
      </c>
      <c r="S24" s="1">
        <v>20.639399999999998</v>
      </c>
      <c r="T24" s="1">
        <v>7.8689999999999998</v>
      </c>
      <c r="V24" s="1">
        <v>20.6431</v>
      </c>
      <c r="W24" s="1">
        <v>7.6470000000000002</v>
      </c>
      <c r="Y24" s="1">
        <v>20.642399999999999</v>
      </c>
      <c r="Z24" s="1">
        <v>10.734500000000001</v>
      </c>
      <c r="AB24" s="1">
        <v>20.633500000000002</v>
      </c>
      <c r="AC24" s="1">
        <v>9.9570000000000007</v>
      </c>
      <c r="AE24" s="1">
        <v>20.631900000000002</v>
      </c>
      <c r="AF24" s="1">
        <v>11.0525</v>
      </c>
      <c r="AH24" s="1">
        <v>20.6478</v>
      </c>
      <c r="AI24" s="1">
        <v>5.2510000000000003</v>
      </c>
      <c r="AL24" s="1">
        <v>20.6447</v>
      </c>
      <c r="AM24" s="1">
        <v>17.369</v>
      </c>
      <c r="AO24" s="1">
        <v>20.641200000000001</v>
      </c>
      <c r="AP24" s="1">
        <v>2.4514999999999998</v>
      </c>
      <c r="AR24" s="1">
        <v>20.653199999999998</v>
      </c>
      <c r="AS24" s="1">
        <v>7.7640000000000002</v>
      </c>
    </row>
    <row r="25" spans="1:45" x14ac:dyDescent="0.2">
      <c r="A25" s="1">
        <v>21.797799999999999</v>
      </c>
      <c r="B25" s="1">
        <v>20.832999999999998</v>
      </c>
      <c r="D25" s="1">
        <v>21.646599999999999</v>
      </c>
      <c r="E25" s="1">
        <v>17.512499999999999</v>
      </c>
      <c r="G25" s="1">
        <v>21.647300000000001</v>
      </c>
      <c r="H25" s="1">
        <v>16.406500000000001</v>
      </c>
      <c r="J25" s="1">
        <v>21.639199999999999</v>
      </c>
      <c r="K25" s="1">
        <v>20.420000000000002</v>
      </c>
      <c r="M25" s="1">
        <v>21.6431</v>
      </c>
      <c r="N25" s="1">
        <v>9.8160000000000007</v>
      </c>
      <c r="P25" s="1">
        <v>21.650600000000001</v>
      </c>
      <c r="Q25" s="1">
        <v>8.2240000000000002</v>
      </c>
      <c r="S25" s="1">
        <v>21.6433</v>
      </c>
      <c r="T25" s="1">
        <v>7.8319999999999999</v>
      </c>
      <c r="V25" s="1">
        <v>21.648499999999999</v>
      </c>
      <c r="W25" s="1">
        <v>7.6239999999999997</v>
      </c>
      <c r="Y25" s="1">
        <v>21.649100000000001</v>
      </c>
      <c r="Z25" s="1">
        <v>10.686999999999999</v>
      </c>
      <c r="AB25" s="1">
        <v>21.639099999999999</v>
      </c>
      <c r="AC25" s="1">
        <v>9.9480000000000004</v>
      </c>
      <c r="AE25" s="1">
        <v>21.635200000000001</v>
      </c>
      <c r="AF25" s="1">
        <v>11.012499999999999</v>
      </c>
      <c r="AH25" s="1">
        <v>21.654800000000002</v>
      </c>
      <c r="AI25" s="1">
        <v>5.2140000000000004</v>
      </c>
      <c r="AL25" s="1">
        <v>21.649000000000001</v>
      </c>
      <c r="AM25" s="1">
        <v>17.29</v>
      </c>
      <c r="AO25" s="1">
        <v>21.646899999999999</v>
      </c>
      <c r="AP25" s="1">
        <v>2.3944999999999999</v>
      </c>
      <c r="AR25" s="1">
        <v>21.6602</v>
      </c>
      <c r="AS25" s="1">
        <v>7.7190000000000003</v>
      </c>
    </row>
    <row r="26" spans="1:45" x14ac:dyDescent="0.2">
      <c r="A26" s="1">
        <v>22.803899999999999</v>
      </c>
      <c r="B26" s="1">
        <v>20.808</v>
      </c>
      <c r="D26" s="1">
        <v>22.653500000000001</v>
      </c>
      <c r="E26" s="1">
        <v>17.5045</v>
      </c>
      <c r="G26" s="1">
        <v>22.6539</v>
      </c>
      <c r="H26" s="1">
        <v>16.3795</v>
      </c>
      <c r="J26" s="1">
        <v>22.645800000000001</v>
      </c>
      <c r="K26" s="1">
        <v>20.3825</v>
      </c>
      <c r="M26" s="1">
        <v>22.6479</v>
      </c>
      <c r="N26" s="1">
        <v>9.8170000000000002</v>
      </c>
      <c r="P26" s="1">
        <v>22.654399999999999</v>
      </c>
      <c r="Q26" s="1">
        <v>8.2029999999999994</v>
      </c>
      <c r="S26" s="1">
        <v>22.648199999999999</v>
      </c>
      <c r="T26" s="1">
        <v>7.8129999999999997</v>
      </c>
      <c r="V26" s="1">
        <v>22.653099999999998</v>
      </c>
      <c r="W26" s="1">
        <v>7.5960000000000001</v>
      </c>
      <c r="Y26" s="1">
        <v>22.656199999999998</v>
      </c>
      <c r="Z26" s="1">
        <v>10.640499999999999</v>
      </c>
      <c r="AB26" s="1">
        <v>22.648399999999999</v>
      </c>
      <c r="AC26" s="1">
        <v>9.9254999999999995</v>
      </c>
      <c r="AE26" s="1">
        <v>22.642399999999999</v>
      </c>
      <c r="AF26" s="1">
        <v>10.974500000000001</v>
      </c>
      <c r="AH26" s="1">
        <v>22.660900000000002</v>
      </c>
      <c r="AI26" s="1">
        <v>5.1775000000000002</v>
      </c>
      <c r="AL26" s="1">
        <v>22.6553</v>
      </c>
      <c r="AM26" s="1">
        <v>17.214500000000001</v>
      </c>
      <c r="AO26" s="1">
        <v>22.653600000000001</v>
      </c>
      <c r="AP26" s="1">
        <v>2.3315000000000001</v>
      </c>
      <c r="AR26" s="1">
        <v>22.6678</v>
      </c>
      <c r="AS26" s="1">
        <v>7.6689999999999996</v>
      </c>
    </row>
    <row r="27" spans="1:45" x14ac:dyDescent="0.2">
      <c r="A27" s="1">
        <v>23.811499999999999</v>
      </c>
      <c r="B27" s="1">
        <v>20.766999999999999</v>
      </c>
      <c r="D27" s="1">
        <v>23.659099999999999</v>
      </c>
      <c r="E27" s="1">
        <v>17.495000000000001</v>
      </c>
      <c r="G27" s="1">
        <v>23.662700000000001</v>
      </c>
      <c r="H27" s="1">
        <v>16.343</v>
      </c>
      <c r="J27" s="1">
        <v>23.650700000000001</v>
      </c>
      <c r="K27" s="1">
        <v>20.348500000000001</v>
      </c>
      <c r="M27" s="1">
        <v>23.6525</v>
      </c>
      <c r="N27" s="1">
        <v>9.8194999999999997</v>
      </c>
      <c r="P27" s="1">
        <v>23.659199999999998</v>
      </c>
      <c r="Q27" s="1">
        <v>8.1760000000000002</v>
      </c>
      <c r="S27" s="1">
        <v>23.653700000000001</v>
      </c>
      <c r="T27" s="1">
        <v>7.7794999999999996</v>
      </c>
      <c r="V27" s="1">
        <v>23.660900000000002</v>
      </c>
      <c r="W27" s="1">
        <v>7.5620000000000003</v>
      </c>
      <c r="Y27" s="1">
        <v>23.663599999999999</v>
      </c>
      <c r="Z27" s="1">
        <v>10.596</v>
      </c>
      <c r="AB27" s="1">
        <v>23.654800000000002</v>
      </c>
      <c r="AC27" s="1">
        <v>9.907</v>
      </c>
      <c r="AE27" s="1">
        <v>23.648700000000002</v>
      </c>
      <c r="AF27" s="1">
        <v>10.916</v>
      </c>
      <c r="AH27" s="1">
        <v>23.671199999999999</v>
      </c>
      <c r="AI27" s="1">
        <v>5.1224999999999996</v>
      </c>
      <c r="AL27" s="1">
        <v>23.6617</v>
      </c>
      <c r="AM27" s="1">
        <v>17.122</v>
      </c>
      <c r="AO27" s="1">
        <v>23.657599999999999</v>
      </c>
      <c r="AP27" s="1">
        <v>2.2690000000000001</v>
      </c>
      <c r="AR27" s="1">
        <v>23.674299999999999</v>
      </c>
      <c r="AS27" s="1">
        <v>7.6204999999999998</v>
      </c>
    </row>
    <row r="28" spans="1:45" x14ac:dyDescent="0.2">
      <c r="A28" s="1">
        <v>24.8188</v>
      </c>
      <c r="B28" s="1">
        <v>20.736999999999998</v>
      </c>
      <c r="D28" s="1">
        <v>24.665500000000002</v>
      </c>
      <c r="E28" s="1">
        <v>17.491499999999998</v>
      </c>
      <c r="G28" s="1">
        <v>24.6691</v>
      </c>
      <c r="H28" s="1">
        <v>16.297000000000001</v>
      </c>
      <c r="J28" s="1">
        <v>24.655999999999999</v>
      </c>
      <c r="K28" s="1">
        <v>20.297999999999998</v>
      </c>
      <c r="M28" s="1">
        <v>24.657599999999999</v>
      </c>
      <c r="N28" s="1">
        <v>9.8140000000000001</v>
      </c>
      <c r="P28" s="1">
        <v>24.663699999999999</v>
      </c>
      <c r="Q28" s="1">
        <v>8.1389999999999993</v>
      </c>
      <c r="S28" s="1">
        <v>24.6571</v>
      </c>
      <c r="T28" s="1">
        <v>7.74</v>
      </c>
      <c r="V28" s="1">
        <v>24.6675</v>
      </c>
      <c r="W28" s="1">
        <v>7.5359999999999996</v>
      </c>
      <c r="Y28" s="1">
        <v>24.669799999999999</v>
      </c>
      <c r="Z28" s="1">
        <v>10.5405</v>
      </c>
      <c r="AB28" s="1">
        <v>24.662199999999999</v>
      </c>
      <c r="AC28" s="1">
        <v>9.8695000000000004</v>
      </c>
      <c r="AE28" s="1">
        <v>24.6557</v>
      </c>
      <c r="AF28" s="1">
        <v>10.858499999999999</v>
      </c>
      <c r="AH28" s="1">
        <v>24.677099999999999</v>
      </c>
      <c r="AI28" s="1">
        <v>5.0839999999999996</v>
      </c>
      <c r="AL28" s="1">
        <v>24.666599999999999</v>
      </c>
      <c r="AM28" s="1">
        <v>17.036999999999999</v>
      </c>
      <c r="AO28" s="1">
        <v>24.6615</v>
      </c>
      <c r="AP28" s="1">
        <v>2.2134999999999998</v>
      </c>
      <c r="AR28" s="1">
        <v>24.682500000000001</v>
      </c>
      <c r="AS28" s="1">
        <v>7.5670000000000002</v>
      </c>
    </row>
    <row r="29" spans="1:45" x14ac:dyDescent="0.2">
      <c r="A29" s="1">
        <v>25.8215</v>
      </c>
      <c r="B29" s="1">
        <v>20.694500000000001</v>
      </c>
      <c r="D29" s="1">
        <v>25.6721</v>
      </c>
      <c r="E29" s="1">
        <v>17.485499999999998</v>
      </c>
      <c r="G29" s="1">
        <v>25.671600000000002</v>
      </c>
      <c r="H29" s="1">
        <v>16.249500000000001</v>
      </c>
      <c r="J29" s="1">
        <v>25.662299999999998</v>
      </c>
      <c r="K29" s="1">
        <v>20.245999999999999</v>
      </c>
      <c r="M29" s="1">
        <v>25.663599999999999</v>
      </c>
      <c r="N29" s="1">
        <v>9.7995000000000001</v>
      </c>
      <c r="P29" s="1">
        <v>25.668500000000002</v>
      </c>
      <c r="Q29" s="1">
        <v>8.1014999999999997</v>
      </c>
      <c r="S29" s="1">
        <v>25.662400000000002</v>
      </c>
      <c r="T29" s="1">
        <v>7.7089999999999996</v>
      </c>
      <c r="V29" s="1">
        <v>25.6737</v>
      </c>
      <c r="W29" s="1">
        <v>7.5019999999999998</v>
      </c>
      <c r="Y29" s="1">
        <v>25.677700000000002</v>
      </c>
      <c r="Z29" s="1">
        <v>10.493</v>
      </c>
      <c r="AB29" s="1">
        <v>25.670300000000001</v>
      </c>
      <c r="AC29" s="1">
        <v>9.8379999999999992</v>
      </c>
      <c r="AE29" s="1">
        <v>25.662700000000001</v>
      </c>
      <c r="AF29" s="1">
        <v>10.795</v>
      </c>
      <c r="AH29" s="1">
        <v>25.681000000000001</v>
      </c>
      <c r="AI29" s="1">
        <v>5.0425000000000004</v>
      </c>
      <c r="AL29" s="1">
        <v>25.6693</v>
      </c>
      <c r="AM29" s="1">
        <v>16.945</v>
      </c>
      <c r="AO29" s="1">
        <v>25.6663</v>
      </c>
      <c r="AP29" s="1">
        <v>2.1455000000000002</v>
      </c>
      <c r="AR29" s="1">
        <v>25.688400000000001</v>
      </c>
      <c r="AS29" s="1">
        <v>7.5015000000000001</v>
      </c>
    </row>
    <row r="30" spans="1:45" x14ac:dyDescent="0.2">
      <c r="A30" s="1">
        <v>26.825800000000001</v>
      </c>
      <c r="B30" s="1">
        <v>20.654</v>
      </c>
      <c r="D30" s="1">
        <v>26.68</v>
      </c>
      <c r="E30" s="1">
        <v>17.486499999999999</v>
      </c>
      <c r="G30" s="1">
        <v>26.6783</v>
      </c>
      <c r="H30" s="1">
        <v>16.203499999999998</v>
      </c>
      <c r="J30" s="1">
        <v>26.6678</v>
      </c>
      <c r="K30" s="1">
        <v>20.191500000000001</v>
      </c>
      <c r="M30" s="1">
        <v>26.6694</v>
      </c>
      <c r="N30" s="1">
        <v>9.7840000000000007</v>
      </c>
      <c r="P30" s="1">
        <v>26.6754</v>
      </c>
      <c r="Q30" s="1">
        <v>8.0645000000000007</v>
      </c>
      <c r="S30" s="1">
        <v>26.669599999999999</v>
      </c>
      <c r="T30" s="1">
        <v>7.6689999999999996</v>
      </c>
      <c r="V30" s="1">
        <v>26.681899999999999</v>
      </c>
      <c r="W30" s="1">
        <v>7.4714999999999998</v>
      </c>
      <c r="Y30" s="1">
        <v>26.6844</v>
      </c>
      <c r="Z30" s="1">
        <v>10.444000000000001</v>
      </c>
      <c r="AB30" s="1">
        <v>26.674499999999998</v>
      </c>
      <c r="AC30" s="1">
        <v>9.7895000000000003</v>
      </c>
      <c r="AE30" s="1">
        <v>26.668299999999999</v>
      </c>
      <c r="AF30" s="1">
        <v>10.734500000000001</v>
      </c>
      <c r="AH30" s="1">
        <v>26.685500000000001</v>
      </c>
      <c r="AI30" s="1">
        <v>4.9989999999999997</v>
      </c>
      <c r="AL30" s="1">
        <v>26.6755</v>
      </c>
      <c r="AM30" s="1">
        <v>16.858499999999999</v>
      </c>
      <c r="AO30" s="1">
        <v>26.671900000000001</v>
      </c>
      <c r="AP30" s="1">
        <v>2.0975000000000001</v>
      </c>
      <c r="AR30" s="1">
        <v>26.694099999999999</v>
      </c>
      <c r="AS30" s="1">
        <v>7.44</v>
      </c>
    </row>
    <row r="31" spans="1:45" x14ac:dyDescent="0.2">
      <c r="A31" s="1">
        <v>27.829899999999999</v>
      </c>
      <c r="B31" s="1">
        <v>20.604500000000002</v>
      </c>
      <c r="D31" s="1">
        <v>27.686699999999998</v>
      </c>
      <c r="E31" s="1">
        <v>17.474499999999999</v>
      </c>
      <c r="G31" s="1">
        <v>27.683800000000002</v>
      </c>
      <c r="H31" s="1">
        <v>16.145</v>
      </c>
      <c r="J31" s="1">
        <v>27.674700000000001</v>
      </c>
      <c r="K31" s="1">
        <v>20.118500000000001</v>
      </c>
      <c r="M31" s="1">
        <v>27.676200000000001</v>
      </c>
      <c r="N31" s="1">
        <v>9.7635000000000005</v>
      </c>
      <c r="P31" s="1">
        <v>27.683599999999998</v>
      </c>
      <c r="Q31" s="1">
        <v>8.0169999999999995</v>
      </c>
      <c r="S31" s="1">
        <v>27.677</v>
      </c>
      <c r="T31" s="1">
        <v>7.6234999999999999</v>
      </c>
      <c r="V31" s="1">
        <v>27.6875</v>
      </c>
      <c r="W31" s="1">
        <v>7.43</v>
      </c>
      <c r="Y31" s="1">
        <v>27.689399999999999</v>
      </c>
      <c r="Z31" s="1">
        <v>10.38</v>
      </c>
      <c r="AB31" s="1">
        <v>27.678899999999999</v>
      </c>
      <c r="AC31" s="1">
        <v>9.7390000000000008</v>
      </c>
      <c r="AE31" s="1">
        <v>27.6722</v>
      </c>
      <c r="AF31" s="1">
        <v>10.6645</v>
      </c>
      <c r="AH31" s="1">
        <v>27.6906</v>
      </c>
      <c r="AI31" s="1">
        <v>4.9370000000000003</v>
      </c>
      <c r="AL31" s="1">
        <v>27.680499999999999</v>
      </c>
      <c r="AM31" s="1">
        <v>16.763500000000001</v>
      </c>
      <c r="AO31" s="1">
        <v>27.676300000000001</v>
      </c>
      <c r="AP31" s="1">
        <v>2.0285000000000002</v>
      </c>
      <c r="AR31" s="1">
        <v>27.700299999999999</v>
      </c>
      <c r="AS31" s="1">
        <v>7.375</v>
      </c>
    </row>
    <row r="32" spans="1:45" x14ac:dyDescent="0.2">
      <c r="A32" s="1">
        <v>28.835000000000001</v>
      </c>
      <c r="B32" s="1">
        <v>20.555499999999999</v>
      </c>
      <c r="D32" s="1">
        <v>28.693200000000001</v>
      </c>
      <c r="E32" s="1">
        <v>17.462499999999999</v>
      </c>
      <c r="G32" s="1">
        <v>28.689499999999999</v>
      </c>
      <c r="H32" s="1">
        <v>16.079999999999998</v>
      </c>
      <c r="J32" s="1">
        <v>28.679099999999998</v>
      </c>
      <c r="K32" s="1">
        <v>20.0565</v>
      </c>
      <c r="M32" s="1">
        <v>28.680900000000001</v>
      </c>
      <c r="N32" s="1">
        <v>9.7375000000000007</v>
      </c>
      <c r="P32" s="1">
        <v>28.69</v>
      </c>
      <c r="Q32" s="1">
        <v>7.9640000000000004</v>
      </c>
      <c r="S32" s="1">
        <v>28.682500000000001</v>
      </c>
      <c r="T32" s="1">
        <v>7.5880000000000001</v>
      </c>
      <c r="V32" s="1">
        <v>28.693200000000001</v>
      </c>
      <c r="W32" s="1">
        <v>7.3879999999999999</v>
      </c>
      <c r="Y32" s="1">
        <v>28.695699999999999</v>
      </c>
      <c r="Z32" s="1">
        <v>10.3215</v>
      </c>
      <c r="AB32" s="1">
        <v>28.685199999999998</v>
      </c>
      <c r="AC32" s="1">
        <v>9.6805000000000003</v>
      </c>
      <c r="AE32" s="1">
        <v>28.677600000000002</v>
      </c>
      <c r="AF32" s="1">
        <v>10.592000000000001</v>
      </c>
      <c r="AH32" s="1">
        <v>28.6967</v>
      </c>
      <c r="AI32" s="1">
        <v>4.8754999999999997</v>
      </c>
      <c r="AL32" s="1">
        <v>28.683599999999998</v>
      </c>
      <c r="AM32" s="1">
        <v>16.667999999999999</v>
      </c>
      <c r="AO32" s="1">
        <v>28.682300000000001</v>
      </c>
      <c r="AP32" s="1">
        <v>1.9610000000000001</v>
      </c>
      <c r="AR32" s="1">
        <v>28.704499999999999</v>
      </c>
      <c r="AS32" s="1">
        <v>7.3079999999999998</v>
      </c>
    </row>
    <row r="33" spans="1:45" x14ac:dyDescent="0.2">
      <c r="A33" s="1">
        <v>29.8415</v>
      </c>
      <c r="B33" s="1">
        <v>20.5105</v>
      </c>
      <c r="D33" s="1">
        <v>29.7</v>
      </c>
      <c r="E33" s="1">
        <v>17.446000000000002</v>
      </c>
      <c r="G33" s="1">
        <v>29.694400000000002</v>
      </c>
      <c r="H33" s="1">
        <v>16.025500000000001</v>
      </c>
      <c r="J33" s="1">
        <v>29.686699999999998</v>
      </c>
      <c r="K33" s="1">
        <v>19.986000000000001</v>
      </c>
      <c r="M33" s="1">
        <v>29.688300000000002</v>
      </c>
      <c r="N33" s="1">
        <v>9.7059999999999995</v>
      </c>
      <c r="P33" s="1">
        <v>29.6995</v>
      </c>
      <c r="Q33" s="1">
        <v>7.9154999999999998</v>
      </c>
      <c r="S33" s="1">
        <v>29.687000000000001</v>
      </c>
      <c r="T33" s="1">
        <v>7.5484999999999998</v>
      </c>
      <c r="V33" s="1">
        <v>29.698599999999999</v>
      </c>
      <c r="W33" s="1">
        <v>7.351</v>
      </c>
      <c r="Y33" s="1">
        <v>29.700800000000001</v>
      </c>
      <c r="Z33" s="1">
        <v>10.2685</v>
      </c>
      <c r="AB33" s="1">
        <v>29.690899999999999</v>
      </c>
      <c r="AC33" s="1">
        <v>9.6210000000000004</v>
      </c>
      <c r="AE33" s="1">
        <v>29.684100000000001</v>
      </c>
      <c r="AF33" s="1">
        <v>10.5085</v>
      </c>
      <c r="AH33" s="1">
        <v>29.703700000000001</v>
      </c>
      <c r="AI33" s="1">
        <v>4.8285</v>
      </c>
      <c r="AL33" s="1">
        <v>29.6907</v>
      </c>
      <c r="AM33" s="1">
        <v>16.579499999999999</v>
      </c>
      <c r="AO33" s="1">
        <v>29.687899999999999</v>
      </c>
      <c r="AP33" s="1">
        <v>1.8919999999999999</v>
      </c>
      <c r="AR33" s="1">
        <v>29.71</v>
      </c>
      <c r="AS33" s="1">
        <v>7.2370000000000001</v>
      </c>
    </row>
    <row r="34" spans="1:45" x14ac:dyDescent="0.2">
      <c r="A34" s="1">
        <v>30.851600000000001</v>
      </c>
      <c r="B34" s="1">
        <v>20.449000000000002</v>
      </c>
      <c r="D34" s="1">
        <v>30.7059</v>
      </c>
      <c r="E34" s="1">
        <v>17.4285</v>
      </c>
      <c r="G34" s="1">
        <v>30.698699999999999</v>
      </c>
      <c r="H34" s="1">
        <v>15.964</v>
      </c>
      <c r="J34" s="1">
        <v>30.696100000000001</v>
      </c>
      <c r="K34" s="1">
        <v>19.9055</v>
      </c>
      <c r="M34" s="1">
        <v>30.697099999999999</v>
      </c>
      <c r="N34" s="1">
        <v>9.6720000000000006</v>
      </c>
      <c r="P34" s="1">
        <v>30.707699999999999</v>
      </c>
      <c r="Q34" s="1">
        <v>7.8570000000000002</v>
      </c>
      <c r="S34" s="1">
        <v>30.690999999999999</v>
      </c>
      <c r="T34" s="1">
        <v>7.5155000000000003</v>
      </c>
      <c r="V34" s="1">
        <v>30.704699999999999</v>
      </c>
      <c r="W34" s="1">
        <v>7.3109999999999999</v>
      </c>
      <c r="Y34" s="1">
        <v>30.7075</v>
      </c>
      <c r="Z34" s="1">
        <v>10.2155</v>
      </c>
      <c r="AB34" s="1">
        <v>30.6951</v>
      </c>
      <c r="AC34" s="1">
        <v>9.5525000000000002</v>
      </c>
      <c r="AE34" s="1">
        <v>30.688800000000001</v>
      </c>
      <c r="AF34" s="1">
        <v>10.4215</v>
      </c>
      <c r="AH34" s="1">
        <v>30.709199999999999</v>
      </c>
      <c r="AI34" s="1">
        <v>4.7699999999999996</v>
      </c>
      <c r="AL34" s="1">
        <v>30.695699999999999</v>
      </c>
      <c r="AM34" s="1">
        <v>16.488499999999998</v>
      </c>
      <c r="AO34" s="1">
        <v>30.693899999999999</v>
      </c>
      <c r="AP34" s="1">
        <v>1.829</v>
      </c>
      <c r="AR34" s="1">
        <v>30.718299999999999</v>
      </c>
      <c r="AS34" s="1">
        <v>7.1635</v>
      </c>
    </row>
    <row r="35" spans="1:45" x14ac:dyDescent="0.2">
      <c r="A35" s="1">
        <v>31.859000000000002</v>
      </c>
      <c r="B35" s="1">
        <v>20.388000000000002</v>
      </c>
      <c r="D35" s="1">
        <v>31.7118</v>
      </c>
      <c r="E35" s="1">
        <v>17.402000000000001</v>
      </c>
      <c r="G35" s="1">
        <v>31.704999999999998</v>
      </c>
      <c r="H35" s="1">
        <v>15.8965</v>
      </c>
      <c r="J35" s="1">
        <v>31.7042</v>
      </c>
      <c r="K35" s="1">
        <v>19.825500000000002</v>
      </c>
      <c r="M35" s="1">
        <v>31.704599999999999</v>
      </c>
      <c r="N35" s="1">
        <v>9.6310000000000002</v>
      </c>
      <c r="P35" s="1">
        <v>31.713699999999999</v>
      </c>
      <c r="Q35" s="1">
        <v>7.7969999999999997</v>
      </c>
      <c r="S35" s="1">
        <v>31.696999999999999</v>
      </c>
      <c r="T35" s="1">
        <v>7.48</v>
      </c>
      <c r="V35" s="1">
        <v>31.707899999999999</v>
      </c>
      <c r="W35" s="1">
        <v>7.2714999999999996</v>
      </c>
      <c r="Y35" s="1">
        <v>31.7102</v>
      </c>
      <c r="Z35" s="1">
        <v>10.1555</v>
      </c>
      <c r="AB35" s="1">
        <v>31.701499999999999</v>
      </c>
      <c r="AC35" s="1">
        <v>9.4830000000000005</v>
      </c>
      <c r="AE35" s="1">
        <v>31.693200000000001</v>
      </c>
      <c r="AF35" s="1">
        <v>10.334</v>
      </c>
      <c r="AH35" s="1">
        <v>31.7149</v>
      </c>
      <c r="AI35" s="1">
        <v>4.7110000000000003</v>
      </c>
      <c r="AL35" s="1">
        <v>31.6983</v>
      </c>
      <c r="AM35" s="1">
        <v>16.3795</v>
      </c>
      <c r="AO35" s="1">
        <v>31.697600000000001</v>
      </c>
      <c r="AP35" s="1">
        <v>1.7565</v>
      </c>
      <c r="AR35" s="1">
        <v>31.723199999999999</v>
      </c>
      <c r="AS35" s="1">
        <v>7.085</v>
      </c>
    </row>
    <row r="36" spans="1:45" x14ac:dyDescent="0.2">
      <c r="A36" s="1">
        <v>32.863500000000002</v>
      </c>
      <c r="B36" s="1">
        <v>20.335000000000001</v>
      </c>
      <c r="D36" s="1">
        <v>32.7196</v>
      </c>
      <c r="E36" s="1">
        <v>17.375499999999999</v>
      </c>
      <c r="G36" s="1">
        <v>32.7119</v>
      </c>
      <c r="H36" s="1">
        <v>15.829499999999999</v>
      </c>
      <c r="J36" s="1">
        <v>32.710999999999999</v>
      </c>
      <c r="K36" s="1">
        <v>19.751000000000001</v>
      </c>
      <c r="M36" s="1">
        <v>32.713000000000001</v>
      </c>
      <c r="N36" s="1">
        <v>9.5854999999999997</v>
      </c>
      <c r="P36" s="1">
        <v>32.719799999999999</v>
      </c>
      <c r="Q36" s="1">
        <v>7.7554999999999996</v>
      </c>
      <c r="S36" s="1">
        <v>32.703299999999999</v>
      </c>
      <c r="T36" s="1">
        <v>7.4359999999999999</v>
      </c>
      <c r="V36" s="1">
        <v>32.714199999999998</v>
      </c>
      <c r="W36" s="1">
        <v>7.2175000000000002</v>
      </c>
      <c r="Y36" s="1">
        <v>32.715400000000002</v>
      </c>
      <c r="Z36" s="1">
        <v>10.093500000000001</v>
      </c>
      <c r="AB36" s="1">
        <v>32.707299999999996</v>
      </c>
      <c r="AC36" s="1">
        <v>9.4139999999999997</v>
      </c>
      <c r="AE36" s="1">
        <v>32.697400000000002</v>
      </c>
      <c r="AF36" s="1">
        <v>10.2485</v>
      </c>
      <c r="AH36" s="1">
        <v>32.722999999999999</v>
      </c>
      <c r="AI36" s="1">
        <v>4.6524999999999999</v>
      </c>
      <c r="AL36" s="1">
        <v>32.7042</v>
      </c>
      <c r="AM36" s="1">
        <v>16.289000000000001</v>
      </c>
      <c r="AO36" s="1">
        <v>32.702599999999997</v>
      </c>
      <c r="AP36" s="1">
        <v>1.6904999999999999</v>
      </c>
      <c r="AR36" s="1">
        <v>32.728999999999999</v>
      </c>
      <c r="AS36" s="1">
        <v>7.0084999999999997</v>
      </c>
    </row>
    <row r="37" spans="1:45" x14ac:dyDescent="0.2">
      <c r="A37" s="1">
        <v>33.866799999999998</v>
      </c>
      <c r="B37" s="1">
        <v>20.272500000000001</v>
      </c>
      <c r="D37" s="1">
        <v>33.728200000000001</v>
      </c>
      <c r="E37" s="1">
        <v>17.342500000000001</v>
      </c>
      <c r="G37" s="1">
        <v>33.718299999999999</v>
      </c>
      <c r="H37" s="1">
        <v>15.757</v>
      </c>
      <c r="J37" s="1">
        <v>33.714500000000001</v>
      </c>
      <c r="K37" s="1">
        <v>19.664999999999999</v>
      </c>
      <c r="M37" s="1">
        <v>33.717500000000001</v>
      </c>
      <c r="N37" s="1">
        <v>9.5404999999999998</v>
      </c>
      <c r="P37" s="1">
        <v>33.725999999999999</v>
      </c>
      <c r="Q37" s="1">
        <v>7.6944999999999997</v>
      </c>
      <c r="S37" s="1">
        <v>33.708199999999998</v>
      </c>
      <c r="T37" s="1">
        <v>7.3949999999999996</v>
      </c>
      <c r="V37" s="1">
        <v>33.721600000000002</v>
      </c>
      <c r="W37" s="1">
        <v>7.1740000000000004</v>
      </c>
      <c r="Y37" s="1">
        <v>33.719499999999996</v>
      </c>
      <c r="Z37" s="1">
        <v>10.025</v>
      </c>
      <c r="AB37" s="1">
        <v>33.714599999999997</v>
      </c>
      <c r="AC37" s="1">
        <v>9.3520000000000003</v>
      </c>
      <c r="AE37" s="1">
        <v>33.703899999999997</v>
      </c>
      <c r="AF37" s="1">
        <v>10.153</v>
      </c>
      <c r="AH37" s="1">
        <v>33.7331</v>
      </c>
      <c r="AI37" s="1">
        <v>4.5904999999999996</v>
      </c>
      <c r="AL37" s="1">
        <v>33.709600000000002</v>
      </c>
      <c r="AM37" s="1">
        <v>16.193000000000001</v>
      </c>
      <c r="AO37" s="1">
        <v>33.710599999999999</v>
      </c>
      <c r="AP37" s="1">
        <v>1.6160000000000001</v>
      </c>
      <c r="AR37" s="1">
        <v>33.733199999999997</v>
      </c>
      <c r="AS37" s="1">
        <v>6.9269999999999996</v>
      </c>
    </row>
    <row r="38" spans="1:45" x14ac:dyDescent="0.2">
      <c r="A38" s="1">
        <v>34.872199999999999</v>
      </c>
      <c r="B38" s="1">
        <v>20.218</v>
      </c>
      <c r="D38" s="1">
        <v>34.733199999999997</v>
      </c>
      <c r="E38" s="1">
        <v>17.297499999999999</v>
      </c>
      <c r="G38" s="1">
        <v>34.724699999999999</v>
      </c>
      <c r="H38" s="1">
        <v>15.683999999999999</v>
      </c>
      <c r="J38" s="1">
        <v>34.720100000000002</v>
      </c>
      <c r="K38" s="1">
        <v>19.591000000000001</v>
      </c>
      <c r="M38" s="1">
        <v>34.722700000000003</v>
      </c>
      <c r="N38" s="1">
        <v>9.4849999999999994</v>
      </c>
      <c r="P38" s="1">
        <v>34.7333</v>
      </c>
      <c r="Q38" s="1">
        <v>7.6325000000000003</v>
      </c>
      <c r="S38" s="1">
        <v>34.712200000000003</v>
      </c>
      <c r="T38" s="1">
        <v>7.359</v>
      </c>
      <c r="V38" s="1">
        <v>34.728499999999997</v>
      </c>
      <c r="W38" s="1">
        <v>7.1379999999999999</v>
      </c>
      <c r="Y38" s="1">
        <v>34.723100000000002</v>
      </c>
      <c r="Z38" s="1">
        <v>9.9674999999999994</v>
      </c>
      <c r="AB38" s="1">
        <v>34.721899999999998</v>
      </c>
      <c r="AC38" s="1">
        <v>9.2584999999999997</v>
      </c>
      <c r="AE38" s="1">
        <v>34.710599999999999</v>
      </c>
      <c r="AF38" s="1">
        <v>10.066000000000001</v>
      </c>
      <c r="AH38" s="1">
        <v>34.742100000000001</v>
      </c>
      <c r="AI38" s="1">
        <v>4.5225</v>
      </c>
      <c r="AL38" s="1">
        <v>34.714799999999997</v>
      </c>
      <c r="AM38" s="1">
        <v>16.1005</v>
      </c>
      <c r="AO38" s="1">
        <v>34.7164</v>
      </c>
      <c r="AP38" s="1">
        <v>1.5505</v>
      </c>
      <c r="AR38" s="1">
        <v>34.741199999999999</v>
      </c>
      <c r="AS38" s="1">
        <v>6.8414999999999999</v>
      </c>
    </row>
    <row r="39" spans="1:45" x14ac:dyDescent="0.2">
      <c r="A39" s="1">
        <v>35.884799999999998</v>
      </c>
      <c r="B39" s="1">
        <v>20.147500000000001</v>
      </c>
      <c r="D39" s="1">
        <v>35.743000000000002</v>
      </c>
      <c r="E39" s="1">
        <v>17.254999999999999</v>
      </c>
      <c r="G39" s="1">
        <v>35.737299999999998</v>
      </c>
      <c r="H39" s="1">
        <v>15.6165</v>
      </c>
      <c r="J39" s="1">
        <v>35.726700000000001</v>
      </c>
      <c r="K39" s="1">
        <v>19.512</v>
      </c>
      <c r="M39" s="1">
        <v>35.778399999999998</v>
      </c>
      <c r="N39" s="1">
        <v>9.4239999999999995</v>
      </c>
      <c r="P39" s="1">
        <v>35.741900000000001</v>
      </c>
      <c r="Q39" s="1">
        <v>7.5744999999999996</v>
      </c>
      <c r="S39" s="1">
        <v>35.723100000000002</v>
      </c>
      <c r="T39" s="1">
        <v>7.3179999999999996</v>
      </c>
      <c r="V39" s="1">
        <v>35.739600000000003</v>
      </c>
      <c r="W39" s="1">
        <v>7.0895000000000001</v>
      </c>
      <c r="Y39" s="1">
        <v>35.7346</v>
      </c>
      <c r="Z39" s="1">
        <v>9.8930000000000007</v>
      </c>
      <c r="AB39" s="1">
        <v>35.730699999999999</v>
      </c>
      <c r="AC39" s="1">
        <v>9.1914999999999996</v>
      </c>
      <c r="AE39" s="1">
        <v>35.7179</v>
      </c>
      <c r="AF39" s="1">
        <v>9.9715000000000007</v>
      </c>
      <c r="AH39" s="1">
        <v>35.752899999999997</v>
      </c>
      <c r="AI39" s="1">
        <v>4.4654999999999996</v>
      </c>
      <c r="AL39" s="1">
        <v>35.722900000000003</v>
      </c>
      <c r="AM39" s="1">
        <v>16.004999999999999</v>
      </c>
      <c r="AO39" s="1">
        <v>35.725099999999998</v>
      </c>
      <c r="AP39" s="1">
        <v>1.484</v>
      </c>
      <c r="AR39" s="1">
        <v>35.7517</v>
      </c>
      <c r="AS39" s="1">
        <v>6.7640000000000002</v>
      </c>
    </row>
    <row r="40" spans="1:45" x14ac:dyDescent="0.2">
      <c r="A40" s="1">
        <v>36.890099999999997</v>
      </c>
      <c r="B40" s="1">
        <v>20.082999999999998</v>
      </c>
      <c r="D40" s="1">
        <v>36.7517</v>
      </c>
      <c r="E40" s="1">
        <v>17.202000000000002</v>
      </c>
      <c r="G40" s="1">
        <v>36.742899999999999</v>
      </c>
      <c r="H40" s="1">
        <v>15.537000000000001</v>
      </c>
      <c r="J40" s="1">
        <v>36.731699999999996</v>
      </c>
      <c r="K40" s="1">
        <v>19.420999999999999</v>
      </c>
      <c r="M40" s="1">
        <v>36.784100000000002</v>
      </c>
      <c r="N40" s="1">
        <v>9.3644999999999996</v>
      </c>
      <c r="P40" s="1">
        <v>36.750900000000001</v>
      </c>
      <c r="Q40" s="1">
        <v>7.524</v>
      </c>
      <c r="S40" s="1">
        <v>36.728299999999997</v>
      </c>
      <c r="T40" s="1">
        <v>7.2729999999999997</v>
      </c>
      <c r="V40" s="1">
        <v>36.746699999999997</v>
      </c>
      <c r="W40" s="1">
        <v>7.0374999999999996</v>
      </c>
      <c r="Y40" s="1">
        <v>36.740400000000001</v>
      </c>
      <c r="Z40" s="1">
        <v>9.8149999999999995</v>
      </c>
      <c r="AB40" s="1">
        <v>36.735500000000002</v>
      </c>
      <c r="AC40" s="1">
        <v>9.1210000000000004</v>
      </c>
      <c r="AE40" s="1">
        <v>36.722000000000001</v>
      </c>
      <c r="AF40" s="1">
        <v>9.8755000000000006</v>
      </c>
      <c r="AH40" s="1">
        <v>36.7577</v>
      </c>
      <c r="AI40" s="1">
        <v>4.4029999999999996</v>
      </c>
      <c r="AL40" s="1">
        <v>36.728700000000003</v>
      </c>
      <c r="AM40" s="1">
        <v>15.907999999999999</v>
      </c>
      <c r="AO40" s="1">
        <v>36.731299999999997</v>
      </c>
      <c r="AP40" s="1">
        <v>1.4075</v>
      </c>
      <c r="AR40" s="1">
        <v>36.7592</v>
      </c>
      <c r="AS40" s="1">
        <v>6.6784999999999997</v>
      </c>
    </row>
    <row r="41" spans="1:45" x14ac:dyDescent="0.2">
      <c r="A41" s="1">
        <v>37.8949</v>
      </c>
      <c r="B41" s="1">
        <v>20.0215</v>
      </c>
      <c r="D41" s="1">
        <v>37.760199999999998</v>
      </c>
      <c r="E41" s="1">
        <v>17.1465</v>
      </c>
      <c r="G41" s="1">
        <v>37.749200000000002</v>
      </c>
      <c r="H41" s="1">
        <v>15.4595</v>
      </c>
      <c r="J41" s="1">
        <v>37.736400000000003</v>
      </c>
      <c r="K41" s="1">
        <v>19.338999999999999</v>
      </c>
      <c r="M41" s="1">
        <v>37.787500000000001</v>
      </c>
      <c r="N41" s="1">
        <v>9.3119999999999994</v>
      </c>
      <c r="P41" s="1">
        <v>37.755600000000001</v>
      </c>
      <c r="Q41" s="1">
        <v>7.4584999999999999</v>
      </c>
      <c r="S41" s="1">
        <v>37.732300000000002</v>
      </c>
      <c r="T41" s="1">
        <v>7.2350000000000003</v>
      </c>
      <c r="V41" s="1">
        <v>37.752899999999997</v>
      </c>
      <c r="W41" s="1">
        <v>6.9894999999999996</v>
      </c>
      <c r="Y41" s="1">
        <v>37.745100000000001</v>
      </c>
      <c r="Z41" s="1">
        <v>9.7509999999999994</v>
      </c>
      <c r="AB41" s="1">
        <v>37.741900000000001</v>
      </c>
      <c r="AC41" s="1">
        <v>9.032</v>
      </c>
      <c r="AE41" s="1">
        <v>37.728099999999998</v>
      </c>
      <c r="AF41" s="1">
        <v>9.7765000000000004</v>
      </c>
      <c r="AH41" s="1">
        <v>37.763100000000001</v>
      </c>
      <c r="AI41" s="1">
        <v>4.3410000000000002</v>
      </c>
      <c r="AL41" s="1">
        <v>37.735100000000003</v>
      </c>
      <c r="AM41" s="1">
        <v>15.816000000000001</v>
      </c>
      <c r="AO41" s="1">
        <v>37.738199999999999</v>
      </c>
      <c r="AP41" s="1">
        <v>1.3345</v>
      </c>
      <c r="AR41" s="1">
        <v>37.768300000000004</v>
      </c>
      <c r="AS41" s="1">
        <v>6.6044999999999998</v>
      </c>
    </row>
    <row r="42" spans="1:45" x14ac:dyDescent="0.2">
      <c r="A42" s="1">
        <v>38.901600000000002</v>
      </c>
      <c r="B42" s="1">
        <v>19.957000000000001</v>
      </c>
      <c r="D42" s="1">
        <v>38.764600000000002</v>
      </c>
      <c r="E42" s="1">
        <v>17.081499999999998</v>
      </c>
      <c r="G42" s="1">
        <v>38.754199999999997</v>
      </c>
      <c r="H42" s="1">
        <v>15.384</v>
      </c>
      <c r="J42" s="1">
        <v>38.742699999999999</v>
      </c>
      <c r="K42" s="1">
        <v>19.2575</v>
      </c>
      <c r="M42" s="1">
        <v>38.7928</v>
      </c>
      <c r="N42" s="1">
        <v>9.2490000000000006</v>
      </c>
      <c r="P42" s="1">
        <v>38.76</v>
      </c>
      <c r="Q42" s="1">
        <v>7.3994999999999997</v>
      </c>
      <c r="S42" s="1">
        <v>38.737000000000002</v>
      </c>
      <c r="T42" s="1">
        <v>7.1970000000000001</v>
      </c>
      <c r="V42" s="1">
        <v>38.760800000000003</v>
      </c>
      <c r="W42" s="1">
        <v>6.9424999999999999</v>
      </c>
      <c r="Y42" s="1">
        <v>38.752899999999997</v>
      </c>
      <c r="Z42" s="1">
        <v>9.6790000000000003</v>
      </c>
      <c r="AB42" s="1">
        <v>38.749000000000002</v>
      </c>
      <c r="AC42" s="1">
        <v>8.9469999999999992</v>
      </c>
      <c r="AE42" s="1">
        <v>38.733400000000003</v>
      </c>
      <c r="AF42" s="1">
        <v>9.6715</v>
      </c>
      <c r="AH42" s="1">
        <v>38.770499999999998</v>
      </c>
      <c r="AI42" s="1">
        <v>4.2845000000000004</v>
      </c>
      <c r="AL42" s="1">
        <v>38.74</v>
      </c>
      <c r="AM42" s="1">
        <v>15.7095</v>
      </c>
      <c r="AO42" s="1">
        <v>38.743600000000001</v>
      </c>
      <c r="AP42" s="1">
        <v>1.2655000000000001</v>
      </c>
      <c r="AR42" s="1">
        <v>38.775799999999997</v>
      </c>
      <c r="AS42" s="1">
        <v>6.5229999999999997</v>
      </c>
    </row>
    <row r="43" spans="1:45" x14ac:dyDescent="0.2">
      <c r="A43" s="1">
        <v>39.9116</v>
      </c>
      <c r="B43" s="1">
        <v>19.884499999999999</v>
      </c>
      <c r="D43" s="1">
        <v>39.773000000000003</v>
      </c>
      <c r="E43" s="1">
        <v>17.027000000000001</v>
      </c>
      <c r="G43" s="1">
        <v>39.759</v>
      </c>
      <c r="H43" s="1">
        <v>15.305</v>
      </c>
      <c r="J43" s="1">
        <v>39.749600000000001</v>
      </c>
      <c r="K43" s="1">
        <v>19.158000000000001</v>
      </c>
      <c r="M43" s="1">
        <v>39.798000000000002</v>
      </c>
      <c r="N43" s="1">
        <v>9.1875</v>
      </c>
      <c r="P43" s="1">
        <v>39.764800000000001</v>
      </c>
      <c r="Q43" s="1">
        <v>7.335</v>
      </c>
      <c r="S43" s="1">
        <v>39.738500000000002</v>
      </c>
      <c r="T43" s="1">
        <v>7.1535000000000002</v>
      </c>
      <c r="V43" s="1">
        <v>39.7684</v>
      </c>
      <c r="W43" s="1">
        <v>6.8895</v>
      </c>
      <c r="Y43" s="1">
        <v>39.7592</v>
      </c>
      <c r="Z43" s="1">
        <v>9.6110000000000007</v>
      </c>
      <c r="AB43" s="1">
        <v>39.753799999999998</v>
      </c>
      <c r="AC43" s="1">
        <v>8.8569999999999993</v>
      </c>
      <c r="AE43" s="1">
        <v>39.738900000000001</v>
      </c>
      <c r="AF43" s="1">
        <v>9.5805000000000007</v>
      </c>
      <c r="AH43" s="1">
        <v>39.777200000000001</v>
      </c>
      <c r="AI43" s="1">
        <v>4.2164999999999999</v>
      </c>
      <c r="AL43" s="1">
        <v>39.744700000000002</v>
      </c>
      <c r="AM43" s="1">
        <v>15.6205</v>
      </c>
      <c r="AO43" s="1">
        <v>39.747700000000002</v>
      </c>
      <c r="AP43" s="1">
        <v>1.1990000000000001</v>
      </c>
      <c r="AR43" s="1">
        <v>39.783799999999999</v>
      </c>
      <c r="AS43" s="1">
        <v>6.4420000000000002</v>
      </c>
    </row>
    <row r="44" spans="1:45" x14ac:dyDescent="0.2">
      <c r="A44" s="1">
        <v>40.9163</v>
      </c>
      <c r="B44" s="1">
        <v>19.814</v>
      </c>
      <c r="D44" s="1">
        <v>40.777900000000002</v>
      </c>
      <c r="E44" s="1">
        <v>16.960999999999999</v>
      </c>
      <c r="G44" s="1">
        <v>40.765500000000003</v>
      </c>
      <c r="H44" s="1">
        <v>15.2285</v>
      </c>
      <c r="J44" s="1">
        <v>40.753500000000003</v>
      </c>
      <c r="K44" s="1">
        <v>19.0745</v>
      </c>
      <c r="M44" s="1">
        <v>40.803699999999999</v>
      </c>
      <c r="N44" s="1">
        <v>9.1159999999999997</v>
      </c>
      <c r="P44" s="1">
        <v>40.770200000000003</v>
      </c>
      <c r="Q44" s="1">
        <v>7.2725</v>
      </c>
      <c r="S44" s="1">
        <v>40.742899999999999</v>
      </c>
      <c r="T44" s="1">
        <v>7.1094999999999997</v>
      </c>
      <c r="V44" s="1">
        <v>40.773099999999999</v>
      </c>
      <c r="W44" s="1">
        <v>6.8345000000000002</v>
      </c>
      <c r="Y44" s="1">
        <v>40.763500000000001</v>
      </c>
      <c r="Z44" s="1">
        <v>9.5434999999999999</v>
      </c>
      <c r="AB44" s="1">
        <v>40.759700000000002</v>
      </c>
      <c r="AC44" s="1">
        <v>8.7774999999999999</v>
      </c>
      <c r="AE44" s="1">
        <v>40.743099999999998</v>
      </c>
      <c r="AF44" s="1">
        <v>9.4730000000000008</v>
      </c>
      <c r="AH44" s="1">
        <v>40.782400000000003</v>
      </c>
      <c r="AI44" s="1">
        <v>4.1470000000000002</v>
      </c>
      <c r="AL44" s="1">
        <v>40.748899999999999</v>
      </c>
      <c r="AM44" s="1">
        <v>15.526</v>
      </c>
      <c r="AO44" s="1">
        <v>40.752600000000001</v>
      </c>
      <c r="AP44" s="1">
        <v>1.125</v>
      </c>
      <c r="AR44" s="1">
        <v>40.7879</v>
      </c>
      <c r="AS44" s="1">
        <v>6.3535000000000004</v>
      </c>
    </row>
    <row r="45" spans="1:45" x14ac:dyDescent="0.2">
      <c r="A45" s="1">
        <v>41.921700000000001</v>
      </c>
      <c r="B45" s="1">
        <v>19.748000000000001</v>
      </c>
      <c r="D45" s="1">
        <v>41.782400000000003</v>
      </c>
      <c r="E45" s="1">
        <v>16.891999999999999</v>
      </c>
      <c r="G45" s="1">
        <v>41.768599999999999</v>
      </c>
      <c r="H45" s="1">
        <v>15.150499999999999</v>
      </c>
      <c r="J45" s="1">
        <v>41.7605</v>
      </c>
      <c r="K45" s="1">
        <v>18.988499999999998</v>
      </c>
      <c r="M45" s="1">
        <v>41.807200000000002</v>
      </c>
      <c r="N45" s="1">
        <v>9.0540000000000003</v>
      </c>
      <c r="P45" s="1">
        <v>41.774999999999999</v>
      </c>
      <c r="Q45" s="1">
        <v>7.2145000000000001</v>
      </c>
      <c r="S45" s="1">
        <v>41.749000000000002</v>
      </c>
      <c r="T45" s="1">
        <v>7.07</v>
      </c>
      <c r="V45" s="1">
        <v>41.7761</v>
      </c>
      <c r="W45" s="1">
        <v>6.7774999999999999</v>
      </c>
      <c r="Y45" s="1">
        <v>41.769599999999997</v>
      </c>
      <c r="Z45" s="1">
        <v>9.468</v>
      </c>
      <c r="AB45" s="1">
        <v>41.7669</v>
      </c>
      <c r="AC45" s="1">
        <v>8.6824999999999992</v>
      </c>
      <c r="AE45" s="1">
        <v>41.750599999999999</v>
      </c>
      <c r="AF45" s="1">
        <v>9.36</v>
      </c>
      <c r="AH45" s="1">
        <v>41.789000000000001</v>
      </c>
      <c r="AI45" s="1">
        <v>4.085</v>
      </c>
      <c r="AL45" s="1">
        <v>41.7545</v>
      </c>
      <c r="AM45" s="1">
        <v>15.43</v>
      </c>
      <c r="AO45" s="1">
        <v>41.760100000000001</v>
      </c>
      <c r="AP45" s="1">
        <v>1.054</v>
      </c>
      <c r="AR45" s="1">
        <v>41.793599999999998</v>
      </c>
      <c r="AS45" s="1">
        <v>6.2705000000000002</v>
      </c>
    </row>
    <row r="46" spans="1:45" x14ac:dyDescent="0.2">
      <c r="A46" s="1">
        <v>42.926699999999997</v>
      </c>
      <c r="B46" s="1">
        <v>19.677</v>
      </c>
      <c r="D46" s="1">
        <v>42.790999999999997</v>
      </c>
      <c r="E46" s="1">
        <v>16.823499999999999</v>
      </c>
      <c r="G46" s="1">
        <v>42.771299999999997</v>
      </c>
      <c r="H46" s="1">
        <v>15.0695</v>
      </c>
      <c r="J46" s="1">
        <v>42.7652</v>
      </c>
      <c r="K46" s="1">
        <v>18.886500000000002</v>
      </c>
      <c r="M46" s="1">
        <v>42.811399999999999</v>
      </c>
      <c r="N46" s="1">
        <v>8.9939999999999998</v>
      </c>
      <c r="P46" s="1">
        <v>42.780200000000001</v>
      </c>
      <c r="Q46" s="1">
        <v>7.1559999999999997</v>
      </c>
      <c r="S46" s="1">
        <v>42.753900000000002</v>
      </c>
      <c r="T46" s="1">
        <v>7.0250000000000004</v>
      </c>
      <c r="V46" s="1">
        <v>42.783900000000003</v>
      </c>
      <c r="W46" s="1">
        <v>6.7255000000000003</v>
      </c>
      <c r="Y46" s="1">
        <v>42.778199999999998</v>
      </c>
      <c r="Z46" s="1">
        <v>9.3940000000000001</v>
      </c>
      <c r="AB46" s="1">
        <v>42.7727</v>
      </c>
      <c r="AC46" s="1">
        <v>8.5875000000000004</v>
      </c>
      <c r="AE46" s="1">
        <v>42.758099999999999</v>
      </c>
      <c r="AF46" s="1">
        <v>9.2620000000000005</v>
      </c>
      <c r="AH46" s="1">
        <v>42.795900000000003</v>
      </c>
      <c r="AI46" s="1">
        <v>4.0145</v>
      </c>
      <c r="AL46" s="1">
        <v>42.7605</v>
      </c>
      <c r="AM46" s="1">
        <v>15.339</v>
      </c>
      <c r="AO46" s="1">
        <v>42.767099999999999</v>
      </c>
      <c r="AP46" s="1">
        <v>0.98199999999999998</v>
      </c>
      <c r="AR46" s="1">
        <v>42.795699999999997</v>
      </c>
      <c r="AS46" s="1">
        <v>6.1950000000000003</v>
      </c>
    </row>
    <row r="47" spans="1:45" x14ac:dyDescent="0.2">
      <c r="A47" s="1">
        <v>43.9315</v>
      </c>
      <c r="B47" s="1">
        <v>19.603999999999999</v>
      </c>
      <c r="D47" s="1">
        <v>43.797699999999999</v>
      </c>
      <c r="E47" s="1">
        <v>16.742000000000001</v>
      </c>
      <c r="G47" s="1">
        <v>43.777700000000003</v>
      </c>
      <c r="H47" s="1">
        <v>14.999000000000001</v>
      </c>
      <c r="J47" s="1">
        <v>43.7712</v>
      </c>
      <c r="K47" s="1">
        <v>18.792000000000002</v>
      </c>
      <c r="M47" s="1">
        <v>43.815800000000003</v>
      </c>
      <c r="N47" s="1">
        <v>8.9154999999999998</v>
      </c>
      <c r="P47" s="1">
        <v>43.786000000000001</v>
      </c>
      <c r="Q47" s="1">
        <v>7.1040000000000001</v>
      </c>
      <c r="S47" s="1">
        <v>43.758499999999998</v>
      </c>
      <c r="T47" s="1">
        <v>6.9775</v>
      </c>
      <c r="V47" s="1">
        <v>43.790199999999999</v>
      </c>
      <c r="W47" s="1">
        <v>6.6684999999999999</v>
      </c>
      <c r="Y47" s="1">
        <v>43.785400000000003</v>
      </c>
      <c r="Z47" s="1">
        <v>9.3279999999999994</v>
      </c>
      <c r="AB47" s="1">
        <v>43.779299999999999</v>
      </c>
      <c r="AC47" s="1">
        <v>8.4969999999999999</v>
      </c>
      <c r="AE47" s="1">
        <v>43.765300000000003</v>
      </c>
      <c r="AF47" s="1">
        <v>9.15</v>
      </c>
      <c r="AH47" s="1">
        <v>43.801099999999998</v>
      </c>
      <c r="AI47" s="1">
        <v>3.9380000000000002</v>
      </c>
      <c r="AL47" s="1">
        <v>43.769500000000001</v>
      </c>
      <c r="AM47" s="1">
        <v>15.2395</v>
      </c>
      <c r="AO47" s="1">
        <v>43.771500000000003</v>
      </c>
      <c r="AP47" s="1">
        <v>0.91149999999999998</v>
      </c>
      <c r="AR47" s="1">
        <v>43.799900000000001</v>
      </c>
      <c r="AS47" s="1">
        <v>6.1280000000000001</v>
      </c>
    </row>
    <row r="48" spans="1:45" x14ac:dyDescent="0.2">
      <c r="A48" s="1">
        <v>44.9373</v>
      </c>
      <c r="B48" s="1">
        <v>19.533999999999999</v>
      </c>
      <c r="D48" s="1">
        <v>44.802599999999998</v>
      </c>
      <c r="E48" s="1">
        <v>16.667999999999999</v>
      </c>
      <c r="G48" s="1">
        <v>44.781500000000001</v>
      </c>
      <c r="H48" s="1">
        <v>14.927</v>
      </c>
      <c r="J48" s="1">
        <v>44.775199999999998</v>
      </c>
      <c r="K48" s="1">
        <v>18.6965</v>
      </c>
      <c r="M48" s="1">
        <v>44.822800000000001</v>
      </c>
      <c r="N48" s="1">
        <v>8.85</v>
      </c>
      <c r="P48" s="1">
        <v>44.788699999999999</v>
      </c>
      <c r="Q48" s="1">
        <v>7.0475000000000003</v>
      </c>
      <c r="S48" s="1">
        <v>44.769599999999997</v>
      </c>
      <c r="T48" s="1">
        <v>6.931</v>
      </c>
      <c r="V48" s="1">
        <v>44.795400000000001</v>
      </c>
      <c r="W48" s="1">
        <v>6.6130000000000004</v>
      </c>
      <c r="Y48" s="1">
        <v>44.7926</v>
      </c>
      <c r="Z48" s="1">
        <v>9.2505000000000006</v>
      </c>
      <c r="AB48" s="1">
        <v>44.787599999999998</v>
      </c>
      <c r="AC48" s="1">
        <v>8.3979999999999997</v>
      </c>
      <c r="AE48" s="1">
        <v>44.773000000000003</v>
      </c>
      <c r="AF48" s="1">
        <v>9.0485000000000007</v>
      </c>
      <c r="AH48" s="1">
        <v>44.805999999999997</v>
      </c>
      <c r="AI48" s="1">
        <v>3.8730000000000002</v>
      </c>
      <c r="AL48" s="1">
        <v>44.775199999999998</v>
      </c>
      <c r="AM48" s="1">
        <v>15.1515</v>
      </c>
      <c r="AO48" s="1">
        <v>44.776400000000002</v>
      </c>
      <c r="AP48" s="1">
        <v>0.83750000000000002</v>
      </c>
      <c r="AR48" s="1">
        <v>44.804299999999998</v>
      </c>
      <c r="AS48" s="1">
        <v>6.04</v>
      </c>
    </row>
    <row r="49" spans="1:45" x14ac:dyDescent="0.2">
      <c r="A49" s="1">
        <v>45.944400000000002</v>
      </c>
      <c r="B49" s="1">
        <v>19.460999999999999</v>
      </c>
      <c r="D49" s="1">
        <v>45.806600000000003</v>
      </c>
      <c r="E49" s="1">
        <v>16.588999999999999</v>
      </c>
      <c r="G49" s="1">
        <v>45.786900000000003</v>
      </c>
      <c r="H49" s="1">
        <v>14.846</v>
      </c>
      <c r="J49" s="1">
        <v>45.778599999999997</v>
      </c>
      <c r="K49" s="1">
        <v>18.605</v>
      </c>
      <c r="M49" s="1">
        <v>45.826000000000001</v>
      </c>
      <c r="N49" s="1">
        <v>8.7835000000000001</v>
      </c>
      <c r="P49" s="1">
        <v>45.795999999999999</v>
      </c>
      <c r="Q49" s="1">
        <v>6.9755000000000003</v>
      </c>
      <c r="S49" s="1">
        <v>45.777500000000003</v>
      </c>
      <c r="T49" s="1">
        <v>6.8825000000000003</v>
      </c>
      <c r="V49" s="1">
        <v>45.803100000000001</v>
      </c>
      <c r="W49" s="1">
        <v>6.5525000000000002</v>
      </c>
      <c r="Y49" s="1">
        <v>45.7986</v>
      </c>
      <c r="Z49" s="1">
        <v>9.1705000000000005</v>
      </c>
      <c r="AB49" s="1">
        <v>45.793700000000001</v>
      </c>
      <c r="AC49" s="1">
        <v>8.3004999999999995</v>
      </c>
      <c r="AE49" s="1">
        <v>45.777799999999999</v>
      </c>
      <c r="AF49" s="1">
        <v>8.9405000000000001</v>
      </c>
      <c r="AH49" s="1">
        <v>45.809199999999997</v>
      </c>
      <c r="AI49" s="1">
        <v>3.8014999999999999</v>
      </c>
      <c r="AL49" s="1">
        <v>45.780799999999999</v>
      </c>
      <c r="AM49" s="1">
        <v>15.048500000000001</v>
      </c>
      <c r="AO49" s="1">
        <v>45.781300000000002</v>
      </c>
      <c r="AP49" s="1">
        <v>0.76100000000000001</v>
      </c>
      <c r="AR49" s="1">
        <v>45.808599999999998</v>
      </c>
      <c r="AS49" s="1">
        <v>5.9580000000000002</v>
      </c>
    </row>
    <row r="50" spans="1:45" x14ac:dyDescent="0.2">
      <c r="A50" s="1">
        <v>46.950299999999999</v>
      </c>
      <c r="B50" s="1">
        <v>19.376999999999999</v>
      </c>
      <c r="D50" s="1">
        <v>46.8123</v>
      </c>
      <c r="E50" s="1">
        <v>16.518000000000001</v>
      </c>
      <c r="G50" s="1">
        <v>46.790700000000001</v>
      </c>
      <c r="H50" s="1">
        <v>14.756</v>
      </c>
      <c r="J50" s="1">
        <v>46.784599999999998</v>
      </c>
      <c r="K50" s="1">
        <v>18.518999999999998</v>
      </c>
      <c r="M50" s="1">
        <v>46.832500000000003</v>
      </c>
      <c r="N50" s="1">
        <v>8.7125000000000004</v>
      </c>
      <c r="P50" s="1">
        <v>46.8003</v>
      </c>
      <c r="Q50" s="1">
        <v>6.9119999999999999</v>
      </c>
      <c r="S50" s="1">
        <v>46.784199999999998</v>
      </c>
      <c r="T50" s="1">
        <v>6.8295000000000003</v>
      </c>
      <c r="V50" s="1">
        <v>46.808399999999999</v>
      </c>
      <c r="W50" s="1">
        <v>6.4870000000000001</v>
      </c>
      <c r="Y50" s="1">
        <v>46.8033</v>
      </c>
      <c r="Z50" s="1">
        <v>9.1065000000000005</v>
      </c>
      <c r="AB50" s="1">
        <v>46.799599999999998</v>
      </c>
      <c r="AC50" s="1">
        <v>8.2040000000000006</v>
      </c>
      <c r="AE50" s="1">
        <v>46.781399999999998</v>
      </c>
      <c r="AF50" s="1">
        <v>8.8260000000000005</v>
      </c>
      <c r="AH50" s="1">
        <v>46.817399999999999</v>
      </c>
      <c r="AI50" s="1">
        <v>3.7330000000000001</v>
      </c>
      <c r="AL50" s="1">
        <v>46.788899999999998</v>
      </c>
      <c r="AM50" s="1">
        <v>14.9565</v>
      </c>
      <c r="AO50" s="1">
        <v>46.787500000000001</v>
      </c>
      <c r="AP50" s="1">
        <v>0.68899999999999995</v>
      </c>
      <c r="AR50" s="1">
        <v>46.813600000000001</v>
      </c>
      <c r="AS50" s="1">
        <v>5.8715000000000002</v>
      </c>
    </row>
    <row r="51" spans="1:45" x14ac:dyDescent="0.2">
      <c r="A51" s="1">
        <v>47.955300000000001</v>
      </c>
      <c r="B51" s="1">
        <v>19.307500000000001</v>
      </c>
      <c r="D51" s="1">
        <v>47.816800000000001</v>
      </c>
      <c r="E51" s="1">
        <v>16.4285</v>
      </c>
      <c r="G51" s="1">
        <v>47.7988</v>
      </c>
      <c r="H51" s="1">
        <v>14.68</v>
      </c>
      <c r="J51" s="1">
        <v>47.788899999999998</v>
      </c>
      <c r="K51" s="1">
        <v>18.419499999999999</v>
      </c>
      <c r="M51" s="1">
        <v>47.839500000000001</v>
      </c>
      <c r="N51" s="1">
        <v>8.6349999999999998</v>
      </c>
      <c r="P51" s="1">
        <v>47.804000000000002</v>
      </c>
      <c r="Q51" s="1">
        <v>6.8395000000000001</v>
      </c>
      <c r="S51" s="1">
        <v>47.792499999999997</v>
      </c>
      <c r="T51" s="1">
        <v>6.7880000000000003</v>
      </c>
      <c r="V51" s="1">
        <v>47.813200000000002</v>
      </c>
      <c r="W51" s="1">
        <v>6.4249999999999998</v>
      </c>
      <c r="Y51" s="1">
        <v>47.808199999999999</v>
      </c>
      <c r="Z51" s="1">
        <v>9.0299999999999994</v>
      </c>
      <c r="AB51" s="1">
        <v>47.805599999999998</v>
      </c>
      <c r="AC51" s="1">
        <v>8.1054999999999993</v>
      </c>
      <c r="AE51" s="1">
        <v>47.787999999999997</v>
      </c>
      <c r="AF51" s="1">
        <v>8.7210000000000001</v>
      </c>
      <c r="AH51" s="1">
        <v>47.820999999999998</v>
      </c>
      <c r="AI51" s="1">
        <v>3.6579999999999999</v>
      </c>
      <c r="AL51" s="1">
        <v>47.796100000000003</v>
      </c>
      <c r="AM51" s="1">
        <v>14.859</v>
      </c>
      <c r="AO51" s="1">
        <v>47.791800000000002</v>
      </c>
      <c r="AP51" s="1">
        <v>0.61599999999999999</v>
      </c>
      <c r="AR51" s="1">
        <v>47.817599999999999</v>
      </c>
      <c r="AS51" s="1">
        <v>5.7895000000000003</v>
      </c>
    </row>
    <row r="52" spans="1:45" x14ac:dyDescent="0.2">
      <c r="A52" s="1">
        <v>48.960999999999999</v>
      </c>
      <c r="B52" s="1">
        <v>19.231999999999999</v>
      </c>
      <c r="D52" s="1">
        <v>48.822200000000002</v>
      </c>
      <c r="E52" s="1">
        <v>16.345500000000001</v>
      </c>
      <c r="G52" s="1">
        <v>48.805199999999999</v>
      </c>
      <c r="H52" s="1">
        <v>14.6</v>
      </c>
      <c r="J52" s="1">
        <v>48.791800000000002</v>
      </c>
      <c r="K52" s="1">
        <v>18.326499999999999</v>
      </c>
      <c r="M52" s="1">
        <v>48.850200000000001</v>
      </c>
      <c r="N52" s="1">
        <v>8.57</v>
      </c>
      <c r="P52" s="1">
        <v>48.808999999999997</v>
      </c>
      <c r="Q52" s="1">
        <v>6.7774999999999999</v>
      </c>
      <c r="S52" s="1">
        <v>48.798299999999998</v>
      </c>
      <c r="T52" s="1">
        <v>6.7320000000000002</v>
      </c>
      <c r="V52" s="1">
        <v>48.819200000000002</v>
      </c>
      <c r="W52" s="1">
        <v>6.367</v>
      </c>
      <c r="Y52" s="1">
        <v>48.813400000000001</v>
      </c>
      <c r="Z52" s="1">
        <v>8.9480000000000004</v>
      </c>
      <c r="AB52" s="1">
        <v>48.812800000000003</v>
      </c>
      <c r="AC52" s="1">
        <v>8.01</v>
      </c>
      <c r="AE52" s="1">
        <v>48.792900000000003</v>
      </c>
      <c r="AF52" s="1">
        <v>8.6069999999999993</v>
      </c>
      <c r="AH52" s="1">
        <v>48.825299999999999</v>
      </c>
      <c r="AI52" s="1">
        <v>3.585</v>
      </c>
      <c r="AL52" s="1">
        <v>48.798200000000001</v>
      </c>
      <c r="AM52" s="1">
        <v>14.765499999999999</v>
      </c>
      <c r="AO52" s="1">
        <v>48.797800000000002</v>
      </c>
      <c r="AP52" s="1">
        <v>0.54500000000000004</v>
      </c>
      <c r="AR52" s="1">
        <v>48.823999999999998</v>
      </c>
      <c r="AS52" s="1">
        <v>5.7030000000000003</v>
      </c>
    </row>
    <row r="53" spans="1:45" x14ac:dyDescent="0.2">
      <c r="A53" s="1">
        <v>49.967500000000001</v>
      </c>
      <c r="B53" s="1">
        <v>19.161000000000001</v>
      </c>
      <c r="D53" s="1">
        <v>49.826000000000001</v>
      </c>
      <c r="E53" s="1">
        <v>16.268999999999998</v>
      </c>
      <c r="G53" s="1">
        <v>49.811900000000001</v>
      </c>
      <c r="H53" s="1">
        <v>14.52</v>
      </c>
      <c r="J53" s="1">
        <v>49.795200000000001</v>
      </c>
      <c r="K53" s="1">
        <v>18.233000000000001</v>
      </c>
      <c r="M53" s="1">
        <v>49.855400000000003</v>
      </c>
      <c r="N53" s="1">
        <v>8.5035000000000007</v>
      </c>
      <c r="P53" s="1">
        <v>49.818100000000001</v>
      </c>
      <c r="Q53" s="1">
        <v>6.7060000000000004</v>
      </c>
      <c r="S53" s="1">
        <v>49.803899999999999</v>
      </c>
      <c r="T53" s="1">
        <v>6.6825000000000001</v>
      </c>
      <c r="V53" s="1">
        <v>49.827500000000001</v>
      </c>
      <c r="W53" s="1">
        <v>6.3029999999999999</v>
      </c>
      <c r="Y53" s="1">
        <v>49.82</v>
      </c>
      <c r="Z53" s="1">
        <v>8.8719999999999999</v>
      </c>
      <c r="AB53" s="1">
        <v>49.819099999999999</v>
      </c>
      <c r="AC53" s="1">
        <v>7.9089999999999998</v>
      </c>
      <c r="AE53" s="1">
        <v>49.800600000000003</v>
      </c>
      <c r="AF53" s="1">
        <v>8.5060000000000002</v>
      </c>
      <c r="AH53" s="1">
        <v>49.829900000000002</v>
      </c>
      <c r="AI53" s="1">
        <v>3.5234999999999999</v>
      </c>
      <c r="AL53" s="1">
        <v>49.800800000000002</v>
      </c>
      <c r="AM53" s="1">
        <v>14.669499999999999</v>
      </c>
      <c r="AO53" s="1">
        <v>49.805500000000002</v>
      </c>
      <c r="AP53" s="1">
        <v>0.47349999999999998</v>
      </c>
      <c r="AR53" s="1">
        <v>49.826799999999999</v>
      </c>
      <c r="AS53" s="1">
        <v>5.6219999999999999</v>
      </c>
    </row>
    <row r="54" spans="1:45" x14ac:dyDescent="0.2">
      <c r="A54" s="1">
        <v>50.972499999999997</v>
      </c>
      <c r="B54" s="1">
        <v>19.083500000000001</v>
      </c>
      <c r="D54" s="1">
        <v>50.828299999999999</v>
      </c>
      <c r="E54" s="1">
        <v>16.185500000000001</v>
      </c>
      <c r="G54" s="1">
        <v>50.819400000000002</v>
      </c>
      <c r="H54" s="1">
        <v>14.442</v>
      </c>
      <c r="J54" s="1">
        <v>50.800199999999997</v>
      </c>
      <c r="K54" s="1">
        <v>18.132000000000001</v>
      </c>
      <c r="M54" s="1">
        <v>50.858899999999998</v>
      </c>
      <c r="N54" s="1">
        <v>8.4295000000000009</v>
      </c>
      <c r="P54" s="1">
        <v>50.825200000000002</v>
      </c>
      <c r="Q54" s="1">
        <v>6.6440000000000001</v>
      </c>
      <c r="S54" s="1">
        <v>50.808900000000001</v>
      </c>
      <c r="T54" s="1">
        <v>6.6284999999999998</v>
      </c>
      <c r="V54" s="1">
        <v>50.832000000000001</v>
      </c>
      <c r="W54" s="1">
        <v>6.2409999999999997</v>
      </c>
      <c r="Y54" s="1">
        <v>50.824100000000001</v>
      </c>
      <c r="Z54" s="1">
        <v>8.7929999999999993</v>
      </c>
      <c r="AB54" s="1">
        <v>50.825400000000002</v>
      </c>
      <c r="AC54" s="1">
        <v>7.8179999999999996</v>
      </c>
      <c r="AE54" s="1">
        <v>50.806800000000003</v>
      </c>
      <c r="AF54" s="1">
        <v>8.3975000000000009</v>
      </c>
      <c r="AH54" s="1">
        <v>50.835000000000001</v>
      </c>
      <c r="AI54" s="1">
        <v>3.4510000000000001</v>
      </c>
      <c r="AL54" s="1">
        <v>50.806699999999999</v>
      </c>
      <c r="AM54" s="1">
        <v>14.583</v>
      </c>
      <c r="AO54" s="1">
        <v>50.811599999999999</v>
      </c>
      <c r="AP54" s="1">
        <v>0.39350000000000002</v>
      </c>
      <c r="AR54" s="1">
        <v>50.832999999999998</v>
      </c>
      <c r="AS54" s="1">
        <v>5.5484999999999998</v>
      </c>
    </row>
    <row r="55" spans="1:45" x14ac:dyDescent="0.2">
      <c r="A55" s="1">
        <v>51.977800000000002</v>
      </c>
      <c r="B55" s="1">
        <v>19.006</v>
      </c>
      <c r="D55" s="1">
        <v>51.8324</v>
      </c>
      <c r="E55" s="1">
        <v>16.107500000000002</v>
      </c>
      <c r="G55" s="1">
        <v>51.828800000000001</v>
      </c>
      <c r="H55" s="1">
        <v>14.358499999999999</v>
      </c>
      <c r="J55" s="1">
        <v>51.805399999999999</v>
      </c>
      <c r="K55" s="1">
        <v>18.0395</v>
      </c>
      <c r="M55" s="1">
        <v>51.863799999999998</v>
      </c>
      <c r="N55" s="1">
        <v>8.3505000000000003</v>
      </c>
      <c r="P55" s="1">
        <v>51.831400000000002</v>
      </c>
      <c r="Q55" s="1">
        <v>6.5819999999999999</v>
      </c>
      <c r="S55" s="1">
        <v>51.813800000000001</v>
      </c>
      <c r="T55" s="1">
        <v>6.5735000000000001</v>
      </c>
      <c r="V55" s="1">
        <v>51.837800000000001</v>
      </c>
      <c r="W55" s="1">
        <v>6.1814999999999998</v>
      </c>
      <c r="Y55" s="1">
        <v>51.828299999999999</v>
      </c>
      <c r="Z55" s="1">
        <v>8.7200000000000006</v>
      </c>
      <c r="AB55" s="1">
        <v>51.834899999999998</v>
      </c>
      <c r="AC55" s="1">
        <v>7.7190000000000003</v>
      </c>
      <c r="AE55" s="1">
        <v>51.8125</v>
      </c>
      <c r="AF55" s="1">
        <v>8.2850000000000001</v>
      </c>
      <c r="AH55" s="1">
        <v>51.8429</v>
      </c>
      <c r="AI55" s="1">
        <v>3.375</v>
      </c>
      <c r="AL55" s="1">
        <v>51.811900000000001</v>
      </c>
      <c r="AM55" s="1">
        <v>14.484</v>
      </c>
      <c r="AO55" s="1">
        <v>51.817500000000003</v>
      </c>
      <c r="AP55" s="1">
        <v>0.316</v>
      </c>
      <c r="AR55" s="1">
        <v>51.838500000000003</v>
      </c>
      <c r="AS55" s="1">
        <v>5.4654999999999996</v>
      </c>
    </row>
    <row r="56" spans="1:45" x14ac:dyDescent="0.2">
      <c r="A56" s="1">
        <v>52.985199999999999</v>
      </c>
      <c r="B56" s="1">
        <v>18.9375</v>
      </c>
      <c r="D56" s="1">
        <v>52.836399999999998</v>
      </c>
      <c r="E56" s="1">
        <v>16.0215</v>
      </c>
      <c r="G56" s="1">
        <v>52.834400000000002</v>
      </c>
      <c r="H56" s="1">
        <v>14.279500000000001</v>
      </c>
      <c r="J56" s="1">
        <v>52.811399999999999</v>
      </c>
      <c r="K56" s="1">
        <v>17.942499999999999</v>
      </c>
      <c r="M56" s="1">
        <v>52.871200000000002</v>
      </c>
      <c r="N56" s="1">
        <v>8.2769999999999992</v>
      </c>
      <c r="P56" s="1">
        <v>52.836300000000001</v>
      </c>
      <c r="Q56" s="1">
        <v>6.5145</v>
      </c>
      <c r="S56" s="1">
        <v>52.817399999999999</v>
      </c>
      <c r="T56" s="1">
        <v>6.5250000000000004</v>
      </c>
      <c r="V56" s="1">
        <v>52.844000000000001</v>
      </c>
      <c r="W56" s="1">
        <v>6.1204999999999998</v>
      </c>
      <c r="Y56" s="1">
        <v>52.837600000000002</v>
      </c>
      <c r="Z56" s="1">
        <v>8.6464999999999996</v>
      </c>
      <c r="AB56" s="1">
        <v>52.843699999999998</v>
      </c>
      <c r="AC56" s="1">
        <v>7.6210000000000004</v>
      </c>
      <c r="AE56" s="1">
        <v>52.819099999999999</v>
      </c>
      <c r="AF56" s="1">
        <v>8.1795000000000009</v>
      </c>
      <c r="AH56" s="1">
        <v>52.849200000000003</v>
      </c>
      <c r="AI56" s="1">
        <v>3.3025000000000002</v>
      </c>
      <c r="AL56" s="1">
        <v>52.819800000000001</v>
      </c>
      <c r="AM56" s="1">
        <v>14.388999999999999</v>
      </c>
      <c r="AO56" s="1">
        <v>52.821199999999997</v>
      </c>
      <c r="AP56" s="1">
        <v>0.23599999999999999</v>
      </c>
      <c r="AR56" s="1">
        <v>52.841799999999999</v>
      </c>
      <c r="AS56" s="1">
        <v>5.3819999999999997</v>
      </c>
    </row>
    <row r="57" spans="1:45" x14ac:dyDescent="0.2">
      <c r="A57" s="1">
        <v>53.989899999999999</v>
      </c>
      <c r="B57" s="1">
        <v>18.863499999999998</v>
      </c>
      <c r="D57" s="1">
        <v>53.840699999999998</v>
      </c>
      <c r="E57" s="1">
        <v>15.932</v>
      </c>
      <c r="G57" s="1">
        <v>53.839300000000001</v>
      </c>
      <c r="H57" s="1">
        <v>14.2035</v>
      </c>
      <c r="J57" s="1">
        <v>53.815800000000003</v>
      </c>
      <c r="K57" s="1">
        <v>17.837</v>
      </c>
      <c r="M57" s="1">
        <v>53.875599999999999</v>
      </c>
      <c r="N57" s="1">
        <v>8.1959999999999997</v>
      </c>
      <c r="P57" s="1">
        <v>53.842399999999998</v>
      </c>
      <c r="Q57" s="1">
        <v>6.4444999999999997</v>
      </c>
      <c r="S57" s="1">
        <v>53.822299999999998</v>
      </c>
      <c r="T57" s="1">
        <v>6.4764999999999997</v>
      </c>
      <c r="V57" s="1">
        <v>53.848799999999997</v>
      </c>
      <c r="W57" s="1">
        <v>6.056</v>
      </c>
      <c r="Y57" s="1">
        <v>53.844099999999997</v>
      </c>
      <c r="Z57" s="1">
        <v>8.5749999999999993</v>
      </c>
      <c r="AB57" s="1">
        <v>53.848999999999997</v>
      </c>
      <c r="AC57" s="1">
        <v>7.5119999999999996</v>
      </c>
      <c r="AE57" s="1">
        <v>53.825800000000001</v>
      </c>
      <c r="AF57" s="1">
        <v>8.0690000000000008</v>
      </c>
      <c r="AH57" s="1">
        <v>53.8553</v>
      </c>
      <c r="AI57" s="1">
        <v>3.2225000000000001</v>
      </c>
      <c r="AL57" s="1">
        <v>53.8264</v>
      </c>
      <c r="AM57" s="1">
        <v>14.295500000000001</v>
      </c>
      <c r="AO57" s="1">
        <v>53.825400000000002</v>
      </c>
      <c r="AP57" s="1">
        <v>0.14899999999999999</v>
      </c>
      <c r="AR57" s="1">
        <v>53.844900000000003</v>
      </c>
      <c r="AS57" s="1">
        <v>5.2930000000000001</v>
      </c>
    </row>
    <row r="58" spans="1:45" x14ac:dyDescent="0.2">
      <c r="A58" s="1">
        <v>54.997500000000002</v>
      </c>
      <c r="B58" s="1">
        <v>18.783999999999999</v>
      </c>
      <c r="D58" s="1">
        <v>54.847200000000001</v>
      </c>
      <c r="E58" s="1">
        <v>15.8485</v>
      </c>
      <c r="G58" s="1">
        <v>54.844900000000003</v>
      </c>
      <c r="H58" s="1">
        <v>14.1235</v>
      </c>
      <c r="J58" s="1">
        <v>54.822299999999998</v>
      </c>
      <c r="K58" s="1">
        <v>17.739999999999998</v>
      </c>
      <c r="M58" s="1">
        <v>54.881599999999999</v>
      </c>
      <c r="N58" s="1">
        <v>8.1280000000000001</v>
      </c>
      <c r="P58" s="1">
        <v>54.850099999999998</v>
      </c>
      <c r="Q58" s="1">
        <v>6.3765000000000001</v>
      </c>
      <c r="S58" s="1">
        <v>54.828099999999999</v>
      </c>
      <c r="T58" s="1">
        <v>6.4249999999999998</v>
      </c>
      <c r="V58" s="1">
        <v>54.852899999999998</v>
      </c>
      <c r="W58" s="1">
        <v>5.9889999999999999</v>
      </c>
      <c r="Y58" s="1">
        <v>54.849299999999999</v>
      </c>
      <c r="Z58" s="1">
        <v>8.5024999999999995</v>
      </c>
      <c r="AB58" s="1">
        <v>54.854799999999997</v>
      </c>
      <c r="AC58" s="1">
        <v>7.4165000000000001</v>
      </c>
      <c r="AE58" s="1">
        <v>54.832299999999996</v>
      </c>
      <c r="AF58" s="1">
        <v>7.9509999999999996</v>
      </c>
      <c r="AH58" s="1">
        <v>54.861499999999999</v>
      </c>
      <c r="AI58" s="1">
        <v>3.1520000000000001</v>
      </c>
      <c r="AL58" s="1">
        <v>54.830199999999998</v>
      </c>
      <c r="AM58" s="1">
        <v>14.199</v>
      </c>
      <c r="AO58" s="1">
        <v>54.834699999999998</v>
      </c>
      <c r="AP58" s="1">
        <v>7.1999999999999995E-2</v>
      </c>
      <c r="AR58" s="1">
        <v>54.849800000000002</v>
      </c>
      <c r="AS58" s="1">
        <v>5.2175000000000002</v>
      </c>
    </row>
    <row r="59" spans="1:45" x14ac:dyDescent="0.2">
      <c r="A59" s="1">
        <v>56.005800000000001</v>
      </c>
      <c r="B59" s="1">
        <v>18.713000000000001</v>
      </c>
      <c r="D59" s="1">
        <v>55.853499999999997</v>
      </c>
      <c r="E59" s="1">
        <v>15.763</v>
      </c>
      <c r="G59" s="1">
        <v>55.8489</v>
      </c>
      <c r="H59" s="1">
        <v>14.047000000000001</v>
      </c>
      <c r="J59" s="1">
        <v>55.829500000000003</v>
      </c>
      <c r="K59" s="1">
        <v>17.646000000000001</v>
      </c>
      <c r="M59" s="1">
        <v>55.886299999999999</v>
      </c>
      <c r="N59" s="1">
        <v>8.0549999999999997</v>
      </c>
      <c r="P59" s="1">
        <v>55.854900000000001</v>
      </c>
      <c r="Q59" s="1">
        <v>6.3120000000000003</v>
      </c>
      <c r="S59" s="1">
        <v>55.833399999999997</v>
      </c>
      <c r="T59" s="1">
        <v>6.3624999999999998</v>
      </c>
      <c r="V59" s="1">
        <v>55.8553</v>
      </c>
      <c r="W59" s="1">
        <v>5.9284999999999997</v>
      </c>
      <c r="Y59" s="1">
        <v>55.855800000000002</v>
      </c>
      <c r="Z59" s="1">
        <v>8.4209999999999994</v>
      </c>
      <c r="AB59" s="1">
        <v>55.862900000000003</v>
      </c>
      <c r="AC59" s="1">
        <v>7.3135000000000003</v>
      </c>
      <c r="AE59" s="1">
        <v>55.841500000000003</v>
      </c>
      <c r="AF59" s="1">
        <v>7.8410000000000002</v>
      </c>
      <c r="AH59" s="1">
        <v>55.869599999999998</v>
      </c>
      <c r="AI59" s="1">
        <v>3.0779999999999998</v>
      </c>
      <c r="AL59" s="1">
        <v>55.8354</v>
      </c>
      <c r="AM59" s="1">
        <v>14.1075</v>
      </c>
      <c r="AO59" s="1">
        <v>55.843400000000003</v>
      </c>
      <c r="AP59" s="1">
        <v>2.5000000000000001E-3</v>
      </c>
      <c r="AR59" s="1">
        <v>55.857700000000001</v>
      </c>
      <c r="AS59" s="1">
        <v>5.1369999999999996</v>
      </c>
    </row>
    <row r="60" spans="1:45" x14ac:dyDescent="0.2">
      <c r="A60" s="1">
        <v>57.010300000000001</v>
      </c>
      <c r="B60" s="1">
        <v>18.6435</v>
      </c>
      <c r="D60" s="1">
        <v>56.857199999999999</v>
      </c>
      <c r="E60" s="1">
        <v>15.679500000000001</v>
      </c>
      <c r="G60" s="1">
        <v>56.854999999999997</v>
      </c>
      <c r="H60" s="1">
        <v>13.965999999999999</v>
      </c>
      <c r="J60" s="1">
        <v>56.837899999999998</v>
      </c>
      <c r="K60" s="1">
        <v>17.545000000000002</v>
      </c>
      <c r="M60" s="1">
        <v>56.892000000000003</v>
      </c>
      <c r="N60" s="1">
        <v>7.9814999999999996</v>
      </c>
      <c r="P60" s="1">
        <v>56.861699999999999</v>
      </c>
      <c r="Q60" s="1">
        <v>6.2415000000000003</v>
      </c>
      <c r="S60" s="1">
        <v>56.838500000000003</v>
      </c>
      <c r="T60" s="1">
        <v>6.3064999999999998</v>
      </c>
      <c r="V60" s="1">
        <v>56.861199999999997</v>
      </c>
      <c r="W60" s="1">
        <v>5.8639999999999999</v>
      </c>
      <c r="Y60" s="1">
        <v>56.862400000000001</v>
      </c>
      <c r="Z60" s="1">
        <v>8.3480000000000008</v>
      </c>
      <c r="AB60" s="1">
        <v>56.868699999999997</v>
      </c>
      <c r="AC60" s="1">
        <v>7.2160000000000002</v>
      </c>
      <c r="AE60" s="1">
        <v>56.847799999999999</v>
      </c>
      <c r="AF60" s="1">
        <v>7.7404999999999999</v>
      </c>
      <c r="AH60" s="1">
        <v>56.875399999999999</v>
      </c>
      <c r="AI60" s="1">
        <v>3.0030000000000001</v>
      </c>
      <c r="AL60" s="1">
        <v>56.839399999999998</v>
      </c>
      <c r="AM60" s="1">
        <v>14.0075</v>
      </c>
      <c r="AO60" s="1">
        <v>56.847700000000003</v>
      </c>
      <c r="AP60" s="1">
        <v>-5.8999999999999997E-2</v>
      </c>
      <c r="AR60" s="1">
        <v>56.863</v>
      </c>
      <c r="AS60" s="1">
        <v>5.0454999999999997</v>
      </c>
    </row>
    <row r="61" spans="1:45" x14ac:dyDescent="0.2">
      <c r="A61" s="1">
        <v>58.015900000000002</v>
      </c>
      <c r="B61" s="1">
        <v>18.572500000000002</v>
      </c>
      <c r="D61" s="1">
        <v>57.863300000000002</v>
      </c>
      <c r="E61" s="1">
        <v>15.599500000000001</v>
      </c>
      <c r="G61" s="1">
        <v>57.860799999999998</v>
      </c>
      <c r="H61" s="1">
        <v>13.88</v>
      </c>
      <c r="J61" s="1">
        <v>57.844299999999997</v>
      </c>
      <c r="K61" s="1">
        <v>17.4435</v>
      </c>
      <c r="M61" s="1">
        <v>57.896999999999998</v>
      </c>
      <c r="N61" s="1">
        <v>7.8959999999999999</v>
      </c>
      <c r="P61" s="1">
        <v>57.866100000000003</v>
      </c>
      <c r="Q61" s="1">
        <v>6.1844999999999999</v>
      </c>
      <c r="S61" s="1">
        <v>57.841799999999999</v>
      </c>
      <c r="T61" s="1">
        <v>6.2610000000000001</v>
      </c>
      <c r="V61" s="1">
        <v>57.866100000000003</v>
      </c>
      <c r="W61" s="1">
        <v>5.7965</v>
      </c>
      <c r="Y61" s="1">
        <v>57.869199999999999</v>
      </c>
      <c r="Z61" s="1">
        <v>8.2680000000000007</v>
      </c>
      <c r="AB61" s="1">
        <v>57.8767</v>
      </c>
      <c r="AC61" s="1">
        <v>7.1265000000000001</v>
      </c>
      <c r="AE61" s="1">
        <v>57.853400000000001</v>
      </c>
      <c r="AF61" s="1">
        <v>7.633</v>
      </c>
      <c r="AH61" s="1">
        <v>57.881900000000002</v>
      </c>
      <c r="AI61" s="1">
        <v>2.9319999999999999</v>
      </c>
      <c r="AL61" s="1">
        <v>57.845199999999998</v>
      </c>
      <c r="AM61" s="1">
        <v>13.914999999999999</v>
      </c>
      <c r="AO61" s="1">
        <v>57.852400000000003</v>
      </c>
      <c r="AP61" s="1">
        <v>-0.13300000000000001</v>
      </c>
      <c r="AR61" s="1">
        <v>57.868600000000001</v>
      </c>
      <c r="AS61" s="1">
        <v>4.9640000000000004</v>
      </c>
    </row>
    <row r="62" spans="1:45" x14ac:dyDescent="0.2">
      <c r="A62" s="1">
        <v>59.02</v>
      </c>
      <c r="B62" s="1">
        <v>18.491</v>
      </c>
      <c r="D62" s="1">
        <v>58.868899999999996</v>
      </c>
      <c r="E62" s="1">
        <v>15.512</v>
      </c>
      <c r="G62" s="1">
        <v>58.863399999999999</v>
      </c>
      <c r="H62" s="1">
        <v>13.8005</v>
      </c>
      <c r="J62" s="1">
        <v>58.846499999999999</v>
      </c>
      <c r="K62" s="1">
        <v>17.347000000000001</v>
      </c>
      <c r="M62" s="1">
        <v>58.903199999999998</v>
      </c>
      <c r="N62" s="1">
        <v>7.8170000000000002</v>
      </c>
      <c r="P62" s="1">
        <v>58.869700000000002</v>
      </c>
      <c r="Q62" s="1">
        <v>6.1124999999999998</v>
      </c>
      <c r="S62" s="1">
        <v>58.845999999999997</v>
      </c>
      <c r="T62" s="1">
        <v>6.2115</v>
      </c>
      <c r="V62" s="1">
        <v>58.8735</v>
      </c>
      <c r="W62" s="1">
        <v>5.7225000000000001</v>
      </c>
      <c r="Y62" s="1">
        <v>58.875599999999999</v>
      </c>
      <c r="Z62" s="1">
        <v>8.1829999999999998</v>
      </c>
      <c r="AB62" s="1">
        <v>58.884399999999999</v>
      </c>
      <c r="AC62" s="1">
        <v>7.0244999999999997</v>
      </c>
      <c r="AE62" s="1">
        <v>58.857799999999997</v>
      </c>
      <c r="AF62" s="1">
        <v>7.5289999999999999</v>
      </c>
      <c r="AH62" s="1">
        <v>58.889499999999998</v>
      </c>
      <c r="AI62" s="1">
        <v>2.8504999999999998</v>
      </c>
      <c r="AL62" s="1">
        <v>58.850900000000003</v>
      </c>
      <c r="AM62" s="1">
        <v>13.818</v>
      </c>
      <c r="AO62" s="1">
        <v>58.860100000000003</v>
      </c>
      <c r="AP62" s="1">
        <v>-0.21049999999999999</v>
      </c>
      <c r="AR62" s="1">
        <v>58.8735</v>
      </c>
      <c r="AS62" s="1">
        <v>4.8775000000000004</v>
      </c>
    </row>
    <row r="63" spans="1:45" x14ac:dyDescent="0.2">
      <c r="A63" s="1">
        <v>60.0259</v>
      </c>
      <c r="B63" s="1">
        <v>18.405999999999999</v>
      </c>
      <c r="D63" s="1">
        <v>59.873699999999999</v>
      </c>
      <c r="E63" s="1">
        <v>15.4175</v>
      </c>
      <c r="G63" s="1">
        <v>59.867899999999999</v>
      </c>
      <c r="H63" s="1">
        <v>13.717000000000001</v>
      </c>
      <c r="J63" s="1">
        <v>59.8506</v>
      </c>
      <c r="K63" s="1">
        <v>17.253499999999999</v>
      </c>
      <c r="M63" s="1">
        <v>59.906799999999997</v>
      </c>
      <c r="N63" s="1">
        <v>7.7409999999999997</v>
      </c>
      <c r="P63" s="1">
        <v>59.874499999999998</v>
      </c>
      <c r="Q63" s="1">
        <v>6.0465</v>
      </c>
      <c r="S63" s="1">
        <v>59.850700000000003</v>
      </c>
      <c r="T63" s="1">
        <v>6.1550000000000002</v>
      </c>
      <c r="V63" s="1">
        <v>59.880499999999998</v>
      </c>
      <c r="W63" s="1">
        <v>5.6630000000000003</v>
      </c>
      <c r="Y63" s="1">
        <v>59.884500000000003</v>
      </c>
      <c r="Z63" s="1">
        <v>8.1020000000000003</v>
      </c>
      <c r="AB63" s="1">
        <v>59.889299999999999</v>
      </c>
      <c r="AC63" s="1">
        <v>6.92</v>
      </c>
      <c r="AE63" s="1">
        <v>59.866199999999999</v>
      </c>
      <c r="AF63" s="1">
        <v>7.415</v>
      </c>
      <c r="AH63" s="1">
        <v>59.894399999999997</v>
      </c>
      <c r="AI63" s="1">
        <v>2.774</v>
      </c>
      <c r="AL63" s="1">
        <v>59.857799999999997</v>
      </c>
      <c r="AM63" s="1">
        <v>13.717000000000001</v>
      </c>
      <c r="AO63" s="1">
        <v>59.866900000000001</v>
      </c>
      <c r="AP63" s="1">
        <v>-0.28149999999999997</v>
      </c>
      <c r="AR63" s="1">
        <v>59.8767</v>
      </c>
      <c r="AS63" s="1">
        <v>4.7949999999999999</v>
      </c>
    </row>
    <row r="64" spans="1:45" x14ac:dyDescent="0.2">
      <c r="A64" s="1">
        <v>61.031500000000001</v>
      </c>
      <c r="B64" s="1">
        <v>18.3355</v>
      </c>
      <c r="D64" s="1">
        <v>60.878300000000003</v>
      </c>
      <c r="E64" s="1">
        <v>15.327</v>
      </c>
      <c r="G64" s="1">
        <v>60.873899999999999</v>
      </c>
      <c r="H64" s="1">
        <v>13.6325</v>
      </c>
      <c r="J64" s="1">
        <v>60.856099999999998</v>
      </c>
      <c r="K64" s="1">
        <v>17.165500000000002</v>
      </c>
      <c r="M64" s="1">
        <v>60.912100000000002</v>
      </c>
      <c r="N64" s="1">
        <v>7.6704999999999997</v>
      </c>
      <c r="P64" s="1">
        <v>60.879199999999997</v>
      </c>
      <c r="Q64" s="1">
        <v>5.9729999999999999</v>
      </c>
      <c r="S64" s="1">
        <v>60.855699999999999</v>
      </c>
      <c r="T64" s="1">
        <v>6.0990000000000002</v>
      </c>
      <c r="V64" s="1">
        <v>60.885100000000001</v>
      </c>
      <c r="W64" s="1">
        <v>5.593</v>
      </c>
      <c r="Y64" s="1">
        <v>60.890900000000002</v>
      </c>
      <c r="Z64" s="1">
        <v>8.0214999999999996</v>
      </c>
      <c r="AB64" s="1">
        <v>60.8964</v>
      </c>
      <c r="AC64" s="1">
        <v>6.8105000000000002</v>
      </c>
      <c r="AE64" s="1">
        <v>60.874499999999998</v>
      </c>
      <c r="AF64" s="1">
        <v>7.3045</v>
      </c>
      <c r="AH64" s="1">
        <v>60.900100000000002</v>
      </c>
      <c r="AI64" s="1">
        <v>2.7044999999999999</v>
      </c>
      <c r="AL64" s="1">
        <v>60.864800000000002</v>
      </c>
      <c r="AM64" s="1">
        <v>13.6225</v>
      </c>
      <c r="AO64" s="1">
        <v>60.873699999999999</v>
      </c>
      <c r="AP64" s="1">
        <v>-0.36</v>
      </c>
      <c r="AR64" s="1">
        <v>60.882399999999997</v>
      </c>
      <c r="AS64" s="1">
        <v>4.7140000000000004</v>
      </c>
    </row>
    <row r="65" spans="1:45" x14ac:dyDescent="0.2">
      <c r="A65" s="1">
        <v>62.0351</v>
      </c>
      <c r="B65" s="1">
        <v>18.253</v>
      </c>
      <c r="D65" s="1">
        <v>61.888100000000001</v>
      </c>
      <c r="E65" s="1">
        <v>15.244</v>
      </c>
      <c r="G65" s="1">
        <v>61.8795</v>
      </c>
      <c r="H65" s="1">
        <v>13.5595</v>
      </c>
      <c r="J65" s="1">
        <v>61.860300000000002</v>
      </c>
      <c r="K65" s="1">
        <v>17.0595</v>
      </c>
      <c r="M65" s="1">
        <v>62.008299999999998</v>
      </c>
      <c r="N65" s="1">
        <v>7.6050000000000004</v>
      </c>
      <c r="P65" s="1">
        <v>61.885899999999999</v>
      </c>
      <c r="Q65" s="1">
        <v>5.9135</v>
      </c>
      <c r="S65" s="1">
        <v>61.862000000000002</v>
      </c>
      <c r="T65" s="1">
        <v>6.04</v>
      </c>
      <c r="V65" s="1">
        <v>61.892099999999999</v>
      </c>
      <c r="W65" s="1">
        <v>5.5289999999999999</v>
      </c>
      <c r="Y65" s="1">
        <v>61.898099999999999</v>
      </c>
      <c r="Z65" s="1">
        <v>7.9480000000000004</v>
      </c>
      <c r="AB65" s="1">
        <v>61.903399999999998</v>
      </c>
      <c r="AC65" s="1">
        <v>6.7115</v>
      </c>
      <c r="AE65" s="1">
        <v>61.879300000000001</v>
      </c>
      <c r="AF65" s="1">
        <v>7.1970000000000001</v>
      </c>
      <c r="AH65" s="1">
        <v>61.906300000000002</v>
      </c>
      <c r="AI65" s="1">
        <v>2.6215000000000002</v>
      </c>
      <c r="AL65" s="1">
        <v>61.870399999999997</v>
      </c>
      <c r="AM65" s="1">
        <v>13.5245</v>
      </c>
      <c r="AO65" s="1">
        <v>61.881700000000002</v>
      </c>
      <c r="AP65" s="1">
        <v>-0.4425</v>
      </c>
      <c r="AR65" s="1">
        <v>61.886400000000002</v>
      </c>
      <c r="AS65" s="1">
        <v>4.6360000000000001</v>
      </c>
    </row>
    <row r="66" spans="1:45" x14ac:dyDescent="0.2">
      <c r="A66" s="1">
        <v>63.040100000000002</v>
      </c>
      <c r="B66" s="1">
        <v>18.176500000000001</v>
      </c>
      <c r="D66" s="1">
        <v>62.895600000000002</v>
      </c>
      <c r="E66" s="1">
        <v>15.151</v>
      </c>
      <c r="G66" s="1">
        <v>62.886699999999998</v>
      </c>
      <c r="H66" s="1">
        <v>13.474</v>
      </c>
      <c r="J66" s="1">
        <v>62.867400000000004</v>
      </c>
      <c r="K66" s="1">
        <v>16.960999999999999</v>
      </c>
      <c r="M66" s="1">
        <v>63.014200000000002</v>
      </c>
      <c r="N66" s="1">
        <v>7.5305</v>
      </c>
      <c r="P66" s="1">
        <v>62.889600000000002</v>
      </c>
      <c r="Q66" s="1">
        <v>5.8440000000000003</v>
      </c>
      <c r="S66" s="1">
        <v>62.866799999999998</v>
      </c>
      <c r="T66" s="1">
        <v>5.9794999999999998</v>
      </c>
      <c r="V66" s="1">
        <v>62.899799999999999</v>
      </c>
      <c r="W66" s="1">
        <v>5.4515000000000002</v>
      </c>
      <c r="Y66" s="1">
        <v>62.904800000000002</v>
      </c>
      <c r="Z66" s="1">
        <v>7.8644999999999996</v>
      </c>
      <c r="AB66" s="1">
        <v>62.907200000000003</v>
      </c>
      <c r="AC66" s="1">
        <v>6.6105</v>
      </c>
      <c r="AE66" s="1">
        <v>62.883400000000002</v>
      </c>
      <c r="AF66" s="1">
        <v>7.0895000000000001</v>
      </c>
      <c r="AH66" s="1">
        <v>62.913200000000003</v>
      </c>
      <c r="AI66" s="1">
        <v>2.5545</v>
      </c>
      <c r="AL66" s="1">
        <v>62.875500000000002</v>
      </c>
      <c r="AM66" s="1">
        <v>13.435499999999999</v>
      </c>
      <c r="AO66" s="1">
        <v>62.8872</v>
      </c>
      <c r="AP66" s="1">
        <v>-0.51900000000000002</v>
      </c>
      <c r="AR66" s="1">
        <v>62.893900000000002</v>
      </c>
      <c r="AS66" s="1">
        <v>4.5425000000000004</v>
      </c>
    </row>
    <row r="67" spans="1:45" x14ac:dyDescent="0.2">
      <c r="A67" s="1">
        <v>64.046899999999994</v>
      </c>
      <c r="B67" s="1">
        <v>18.100999999999999</v>
      </c>
      <c r="D67" s="1">
        <v>63.903300000000002</v>
      </c>
      <c r="E67" s="1">
        <v>15.064</v>
      </c>
      <c r="G67" s="1">
        <v>63.894300000000001</v>
      </c>
      <c r="H67" s="1">
        <v>13.388999999999999</v>
      </c>
      <c r="J67" s="1">
        <v>63.874299999999998</v>
      </c>
      <c r="K67" s="1">
        <v>16.859000000000002</v>
      </c>
      <c r="M67" s="1">
        <v>64.017099999999999</v>
      </c>
      <c r="N67" s="1">
        <v>7.4669999999999996</v>
      </c>
      <c r="P67" s="1">
        <v>63.8949</v>
      </c>
      <c r="Q67" s="1">
        <v>5.7765000000000004</v>
      </c>
      <c r="S67" s="1">
        <v>63.873899999999999</v>
      </c>
      <c r="T67" s="1">
        <v>5.9204999999999997</v>
      </c>
      <c r="V67" s="1">
        <v>63.909799999999997</v>
      </c>
      <c r="W67" s="1">
        <v>5.3825000000000003</v>
      </c>
      <c r="Y67" s="1">
        <v>63.908999999999999</v>
      </c>
      <c r="Z67" s="1">
        <v>7.7859999999999996</v>
      </c>
      <c r="AB67" s="1">
        <v>63.912100000000002</v>
      </c>
      <c r="AC67" s="1">
        <v>6.5060000000000002</v>
      </c>
      <c r="AE67" s="1">
        <v>63.889800000000001</v>
      </c>
      <c r="AF67" s="1">
        <v>6.9829999999999997</v>
      </c>
      <c r="AH67" s="1">
        <v>63.9206</v>
      </c>
      <c r="AI67" s="1">
        <v>2.4794999999999998</v>
      </c>
      <c r="AL67" s="1">
        <v>63.878100000000003</v>
      </c>
      <c r="AM67" s="1">
        <v>13.330500000000001</v>
      </c>
      <c r="AO67" s="1">
        <v>63.892600000000002</v>
      </c>
      <c r="AP67" s="1">
        <v>-0.58299999999999996</v>
      </c>
      <c r="AR67" s="1">
        <v>63.897500000000001</v>
      </c>
      <c r="AS67" s="1">
        <v>4.46</v>
      </c>
    </row>
    <row r="68" spans="1:45" x14ac:dyDescent="0.2">
      <c r="A68" s="1">
        <v>65.053700000000006</v>
      </c>
      <c r="B68" s="1">
        <v>18.016999999999999</v>
      </c>
      <c r="D68" s="1">
        <v>64.9101</v>
      </c>
      <c r="E68" s="1">
        <v>14.9785</v>
      </c>
      <c r="G68" s="1">
        <v>64.900099999999995</v>
      </c>
      <c r="H68" s="1">
        <v>13.314500000000001</v>
      </c>
      <c r="J68" s="1">
        <v>64.881100000000004</v>
      </c>
      <c r="K68" s="1">
        <v>16.757999999999999</v>
      </c>
      <c r="M68" s="1">
        <v>65.022599999999997</v>
      </c>
      <c r="N68" s="1">
        <v>7.3905000000000003</v>
      </c>
      <c r="P68" s="1">
        <v>64.901300000000006</v>
      </c>
      <c r="Q68" s="1">
        <v>5.71</v>
      </c>
      <c r="S68" s="1">
        <v>64.883300000000006</v>
      </c>
      <c r="T68" s="1">
        <v>5.8605</v>
      </c>
      <c r="V68" s="1">
        <v>64.917199999999994</v>
      </c>
      <c r="W68" s="1">
        <v>5.3170000000000002</v>
      </c>
      <c r="Y68" s="1">
        <v>64.9131</v>
      </c>
      <c r="Z68" s="1">
        <v>7.7050000000000001</v>
      </c>
      <c r="AB68" s="1">
        <v>64.914400000000001</v>
      </c>
      <c r="AC68" s="1">
        <v>6.4035000000000002</v>
      </c>
      <c r="AE68" s="1">
        <v>64.8977</v>
      </c>
      <c r="AF68" s="1">
        <v>6.8695000000000004</v>
      </c>
      <c r="AH68" s="1">
        <v>64.931700000000006</v>
      </c>
      <c r="AI68" s="1">
        <v>2.4015</v>
      </c>
      <c r="AL68" s="1">
        <v>64.884399999999999</v>
      </c>
      <c r="AM68" s="1">
        <v>13.237500000000001</v>
      </c>
      <c r="AO68" s="1">
        <v>64.898200000000003</v>
      </c>
      <c r="AP68" s="1">
        <v>-0.66400000000000003</v>
      </c>
      <c r="AR68" s="1">
        <v>64.902299999999997</v>
      </c>
      <c r="AS68" s="1">
        <v>4.3680000000000003</v>
      </c>
    </row>
    <row r="69" spans="1:45" x14ac:dyDescent="0.2">
      <c r="A69" s="1">
        <v>66.058300000000003</v>
      </c>
      <c r="B69" s="1">
        <v>17.935500000000001</v>
      </c>
      <c r="D69" s="1">
        <v>65.918300000000002</v>
      </c>
      <c r="E69" s="1">
        <v>14.884499999999999</v>
      </c>
      <c r="G69" s="1">
        <v>65.905600000000007</v>
      </c>
      <c r="H69" s="1">
        <v>13.227499999999999</v>
      </c>
      <c r="J69" s="1">
        <v>65.884</v>
      </c>
      <c r="K69" s="1">
        <v>16.663499999999999</v>
      </c>
      <c r="M69" s="1">
        <v>66.031599999999997</v>
      </c>
      <c r="N69" s="1">
        <v>7.3170000000000002</v>
      </c>
      <c r="P69" s="1">
        <v>65.904799999999994</v>
      </c>
      <c r="Q69" s="1">
        <v>5.64</v>
      </c>
      <c r="S69" s="1">
        <v>65.888400000000004</v>
      </c>
      <c r="T69" s="1">
        <v>5.7954999999999997</v>
      </c>
      <c r="V69" s="1">
        <v>65.924800000000005</v>
      </c>
      <c r="W69" s="1">
        <v>5.2554999999999996</v>
      </c>
      <c r="Y69" s="1">
        <v>65.917599999999993</v>
      </c>
      <c r="Z69" s="1">
        <v>7.6260000000000003</v>
      </c>
      <c r="AB69" s="1">
        <v>65.919499999999999</v>
      </c>
      <c r="AC69" s="1">
        <v>6.3055000000000003</v>
      </c>
      <c r="AE69" s="1">
        <v>65.902600000000007</v>
      </c>
      <c r="AF69" s="1">
        <v>6.7645</v>
      </c>
      <c r="AH69" s="1">
        <v>65.936199999999999</v>
      </c>
      <c r="AI69" s="1">
        <v>2.3214999999999999</v>
      </c>
      <c r="AL69" s="1">
        <v>65.890900000000002</v>
      </c>
      <c r="AM69" s="1">
        <v>13.141999999999999</v>
      </c>
      <c r="AO69" s="1">
        <v>65.904799999999994</v>
      </c>
      <c r="AP69" s="1">
        <v>-0.73899999999999999</v>
      </c>
      <c r="AR69" s="1">
        <v>65.906499999999994</v>
      </c>
      <c r="AS69" s="1">
        <v>4.2869999999999999</v>
      </c>
    </row>
    <row r="70" spans="1:45" x14ac:dyDescent="0.2">
      <c r="A70" s="1">
        <v>67.064400000000006</v>
      </c>
      <c r="B70" s="1">
        <v>17.8505</v>
      </c>
      <c r="D70" s="1">
        <v>66.925899999999999</v>
      </c>
      <c r="E70" s="1">
        <v>14.797000000000001</v>
      </c>
      <c r="G70" s="1">
        <v>66.911199999999994</v>
      </c>
      <c r="H70" s="1">
        <v>13.1455</v>
      </c>
      <c r="J70" s="1">
        <v>66.890799999999999</v>
      </c>
      <c r="K70" s="1">
        <v>16.57</v>
      </c>
      <c r="M70" s="1">
        <v>67.037999999999997</v>
      </c>
      <c r="N70" s="1">
        <v>7.24</v>
      </c>
      <c r="P70" s="1">
        <v>66.908100000000005</v>
      </c>
      <c r="Q70" s="1">
        <v>5.57</v>
      </c>
      <c r="S70" s="1">
        <v>66.893000000000001</v>
      </c>
      <c r="T70" s="1">
        <v>5.7350000000000003</v>
      </c>
      <c r="V70" s="1">
        <v>66.932000000000002</v>
      </c>
      <c r="W70" s="1">
        <v>5.1840000000000002</v>
      </c>
      <c r="Y70" s="1">
        <v>66.922799999999995</v>
      </c>
      <c r="Z70" s="1">
        <v>7.5419999999999998</v>
      </c>
      <c r="AB70" s="1">
        <v>66.9285</v>
      </c>
      <c r="AC70" s="1">
        <v>6.2130000000000001</v>
      </c>
      <c r="AE70" s="1">
        <v>66.908900000000003</v>
      </c>
      <c r="AF70" s="1">
        <v>6.6535000000000002</v>
      </c>
      <c r="AH70" s="1">
        <v>66.941400000000002</v>
      </c>
      <c r="AI70" s="1">
        <v>2.2435</v>
      </c>
      <c r="AL70" s="1">
        <v>66.897199999999998</v>
      </c>
      <c r="AM70" s="1">
        <v>13.045</v>
      </c>
      <c r="AO70" s="1">
        <v>66.910300000000007</v>
      </c>
      <c r="AP70" s="1">
        <v>-0.8105</v>
      </c>
      <c r="AR70" s="1">
        <v>66.910899999999998</v>
      </c>
      <c r="AS70" s="1">
        <v>4.2015000000000002</v>
      </c>
    </row>
    <row r="71" spans="1:45" x14ac:dyDescent="0.2">
      <c r="A71" s="1">
        <v>68.070899999999995</v>
      </c>
      <c r="B71" s="1">
        <v>17.776</v>
      </c>
      <c r="D71" s="1">
        <v>67.933099999999996</v>
      </c>
      <c r="E71" s="1">
        <v>14.704499999999999</v>
      </c>
      <c r="G71" s="1">
        <v>67.915000000000006</v>
      </c>
      <c r="H71" s="1">
        <v>13.068</v>
      </c>
      <c r="J71" s="1">
        <v>67.896199999999993</v>
      </c>
      <c r="K71" s="1">
        <v>16.4665</v>
      </c>
      <c r="M71" s="1">
        <v>68.043999999999997</v>
      </c>
      <c r="N71" s="1">
        <v>7.1684999999999999</v>
      </c>
      <c r="P71" s="1">
        <v>67.9148</v>
      </c>
      <c r="Q71" s="1">
        <v>5.508</v>
      </c>
      <c r="S71" s="1">
        <v>67.899199999999993</v>
      </c>
      <c r="T71" s="1">
        <v>5.6665000000000001</v>
      </c>
      <c r="V71" s="1">
        <v>67.938900000000004</v>
      </c>
      <c r="W71" s="1">
        <v>5.1159999999999997</v>
      </c>
      <c r="Y71" s="1">
        <v>67.929500000000004</v>
      </c>
      <c r="Z71" s="1">
        <v>7.4545000000000003</v>
      </c>
      <c r="AB71" s="1">
        <v>67.935299999999998</v>
      </c>
      <c r="AC71" s="1">
        <v>6.1109999999999998</v>
      </c>
      <c r="AE71" s="1">
        <v>67.915599999999998</v>
      </c>
      <c r="AF71" s="1">
        <v>6.5514999999999999</v>
      </c>
      <c r="AH71" s="1">
        <v>67.948099999999997</v>
      </c>
      <c r="AI71" s="1">
        <v>2.1669999999999998</v>
      </c>
      <c r="AL71" s="1">
        <v>67.903800000000004</v>
      </c>
      <c r="AM71" s="1">
        <v>12.952999999999999</v>
      </c>
      <c r="AO71" s="1">
        <v>67.914199999999994</v>
      </c>
      <c r="AP71" s="1">
        <v>-0.88</v>
      </c>
      <c r="AR71" s="1">
        <v>67.915499999999994</v>
      </c>
      <c r="AS71" s="1">
        <v>4.1109999999999998</v>
      </c>
    </row>
    <row r="72" spans="1:45" x14ac:dyDescent="0.2">
      <c r="A72" s="1">
        <v>69.074799999999996</v>
      </c>
      <c r="B72" s="1">
        <v>17.690999999999999</v>
      </c>
      <c r="D72" s="1">
        <v>68.938100000000006</v>
      </c>
      <c r="E72" s="1">
        <v>14.616</v>
      </c>
      <c r="G72" s="1">
        <v>68.919799999999995</v>
      </c>
      <c r="H72" s="1">
        <v>12.990500000000001</v>
      </c>
      <c r="J72" s="1">
        <v>68.900999999999996</v>
      </c>
      <c r="K72" s="1">
        <v>16.363</v>
      </c>
      <c r="M72" s="1">
        <v>69.050299999999993</v>
      </c>
      <c r="N72" s="1">
        <v>7.0945</v>
      </c>
      <c r="P72" s="1">
        <v>68.9208</v>
      </c>
      <c r="Q72" s="1">
        <v>5.4405000000000001</v>
      </c>
      <c r="S72" s="1">
        <v>68.904899999999998</v>
      </c>
      <c r="T72" s="1">
        <v>5.6074999999999999</v>
      </c>
      <c r="V72" s="1">
        <v>68.945300000000003</v>
      </c>
      <c r="W72" s="1">
        <v>5.0519999999999996</v>
      </c>
      <c r="Y72" s="1">
        <v>68.934299999999993</v>
      </c>
      <c r="Z72" s="1">
        <v>7.375</v>
      </c>
      <c r="AB72" s="1">
        <v>68.941900000000004</v>
      </c>
      <c r="AC72" s="1">
        <v>6.0049999999999999</v>
      </c>
      <c r="AE72" s="1">
        <v>68.923000000000002</v>
      </c>
      <c r="AF72" s="1">
        <v>6.45</v>
      </c>
      <c r="AH72" s="1">
        <v>68.955500000000001</v>
      </c>
      <c r="AI72" s="1">
        <v>2.1019999999999999</v>
      </c>
      <c r="AL72" s="1">
        <v>68.9131</v>
      </c>
      <c r="AM72" s="1">
        <v>12.847</v>
      </c>
      <c r="AO72" s="1">
        <v>68.921400000000006</v>
      </c>
      <c r="AP72" s="1">
        <v>-0.95499999999999996</v>
      </c>
      <c r="AR72" s="1">
        <v>68.923699999999997</v>
      </c>
      <c r="AS72" s="1">
        <v>4.0365000000000002</v>
      </c>
    </row>
    <row r="73" spans="1:45" x14ac:dyDescent="0.2">
      <c r="A73" s="1">
        <v>70.081400000000002</v>
      </c>
      <c r="B73" s="1">
        <v>17.609000000000002</v>
      </c>
      <c r="D73" s="1">
        <v>69.942599999999999</v>
      </c>
      <c r="E73" s="1">
        <v>14.5265</v>
      </c>
      <c r="G73" s="1">
        <v>69.925700000000006</v>
      </c>
      <c r="H73" s="1">
        <v>12.904999999999999</v>
      </c>
      <c r="J73" s="1">
        <v>69.908600000000007</v>
      </c>
      <c r="K73" s="1">
        <v>16.260999999999999</v>
      </c>
      <c r="M73" s="1">
        <v>70.054400000000001</v>
      </c>
      <c r="N73" s="1">
        <v>7.0244999999999997</v>
      </c>
      <c r="P73" s="1">
        <v>69.9268</v>
      </c>
      <c r="Q73" s="1">
        <v>5.3659999999999997</v>
      </c>
      <c r="S73" s="1">
        <v>69.909899999999993</v>
      </c>
      <c r="T73" s="1">
        <v>5.5415000000000001</v>
      </c>
      <c r="V73" s="1">
        <v>69.952500000000001</v>
      </c>
      <c r="W73" s="1">
        <v>4.976</v>
      </c>
      <c r="Y73" s="1">
        <v>69.938400000000001</v>
      </c>
      <c r="Z73" s="1">
        <v>7.2904999999999998</v>
      </c>
      <c r="AB73" s="1">
        <v>69.949600000000004</v>
      </c>
      <c r="AC73" s="1">
        <v>5.8964999999999996</v>
      </c>
      <c r="AE73" s="1">
        <v>69.927400000000006</v>
      </c>
      <c r="AF73" s="1">
        <v>6.3224999999999998</v>
      </c>
      <c r="AH73" s="1">
        <v>69.959199999999996</v>
      </c>
      <c r="AI73" s="1">
        <v>2.0274999999999999</v>
      </c>
      <c r="AL73" s="1">
        <v>69.921800000000005</v>
      </c>
      <c r="AM73" s="1">
        <v>12.753</v>
      </c>
      <c r="AO73" s="1">
        <v>69.926100000000005</v>
      </c>
      <c r="AP73" s="1">
        <v>-1.0325</v>
      </c>
      <c r="AR73" s="1">
        <v>69.929699999999997</v>
      </c>
      <c r="AS73" s="1">
        <v>3.9510000000000001</v>
      </c>
    </row>
    <row r="74" spans="1:45" x14ac:dyDescent="0.2">
      <c r="A74" s="1">
        <v>71.089100000000002</v>
      </c>
      <c r="B74" s="1">
        <v>17.53</v>
      </c>
      <c r="D74" s="1">
        <v>70.949600000000004</v>
      </c>
      <c r="E74" s="1">
        <v>14.436</v>
      </c>
      <c r="G74" s="1">
        <v>70.933700000000002</v>
      </c>
      <c r="H74" s="1">
        <v>12.823</v>
      </c>
      <c r="J74" s="1">
        <v>70.913300000000007</v>
      </c>
      <c r="K74" s="1">
        <v>16.172000000000001</v>
      </c>
      <c r="M74" s="1">
        <v>71.058800000000005</v>
      </c>
      <c r="N74" s="1">
        <v>6.9509999999999996</v>
      </c>
      <c r="P74" s="1">
        <v>70.929299999999998</v>
      </c>
      <c r="Q74" s="1">
        <v>5.2904999999999998</v>
      </c>
      <c r="S74" s="1">
        <v>70.9148</v>
      </c>
      <c r="T74" s="1">
        <v>5.4775</v>
      </c>
      <c r="V74" s="1">
        <v>70.957700000000003</v>
      </c>
      <c r="W74" s="1">
        <v>4.9160000000000004</v>
      </c>
      <c r="Y74" s="1">
        <v>70.941500000000005</v>
      </c>
      <c r="Z74" s="1">
        <v>7.2110000000000003</v>
      </c>
      <c r="AB74" s="1">
        <v>70.953699999999998</v>
      </c>
      <c r="AC74" s="1">
        <v>5.7939999999999996</v>
      </c>
      <c r="AE74" s="1">
        <v>70.930499999999995</v>
      </c>
      <c r="AF74" s="1">
        <v>6.2234999999999996</v>
      </c>
      <c r="AH74" s="1">
        <v>70.965100000000007</v>
      </c>
      <c r="AI74" s="1">
        <v>1.9510000000000001</v>
      </c>
      <c r="AL74" s="1">
        <v>70.930199999999999</v>
      </c>
      <c r="AM74" s="1">
        <v>12.663</v>
      </c>
      <c r="AO74" s="1">
        <v>70.932900000000004</v>
      </c>
      <c r="AP74" s="1">
        <v>-1.1105</v>
      </c>
      <c r="AR74" s="1">
        <v>70.935699999999997</v>
      </c>
      <c r="AS74" s="1">
        <v>3.8610000000000002</v>
      </c>
    </row>
    <row r="75" spans="1:45" x14ac:dyDescent="0.2">
      <c r="A75" s="1">
        <v>72.095799999999997</v>
      </c>
      <c r="B75" s="1">
        <v>17.452500000000001</v>
      </c>
      <c r="D75" s="1">
        <v>71.953599999999994</v>
      </c>
      <c r="E75" s="1">
        <v>14.3475</v>
      </c>
      <c r="G75" s="1">
        <v>71.940200000000004</v>
      </c>
      <c r="H75" s="1">
        <v>12.7385</v>
      </c>
      <c r="J75" s="1">
        <v>71.917500000000004</v>
      </c>
      <c r="K75" s="1">
        <v>16.076499999999999</v>
      </c>
      <c r="M75" s="1">
        <v>72.063299999999998</v>
      </c>
      <c r="N75" s="1">
        <v>6.8695000000000004</v>
      </c>
      <c r="P75" s="1">
        <v>71.935100000000006</v>
      </c>
      <c r="Q75" s="1">
        <v>5.2314999999999996</v>
      </c>
      <c r="S75" s="1">
        <v>71.919399999999996</v>
      </c>
      <c r="T75" s="1">
        <v>5.423</v>
      </c>
      <c r="V75" s="1">
        <v>71.966700000000003</v>
      </c>
      <c r="W75" s="1">
        <v>4.8470000000000004</v>
      </c>
      <c r="Y75" s="1">
        <v>71.947999999999993</v>
      </c>
      <c r="Z75" s="1">
        <v>7.13</v>
      </c>
      <c r="AB75" s="1">
        <v>71.959500000000006</v>
      </c>
      <c r="AC75" s="1">
        <v>5.6825000000000001</v>
      </c>
      <c r="AE75" s="1">
        <v>71.937100000000001</v>
      </c>
      <c r="AF75" s="1">
        <v>6.1230000000000002</v>
      </c>
      <c r="AH75" s="1">
        <v>71.970699999999994</v>
      </c>
      <c r="AI75" s="1">
        <v>1.8720000000000001</v>
      </c>
      <c r="AL75" s="1">
        <v>71.939099999999996</v>
      </c>
      <c r="AM75" s="1">
        <v>12.5715</v>
      </c>
      <c r="AO75" s="1">
        <v>71.939099999999996</v>
      </c>
      <c r="AP75" s="1">
        <v>-1.1884999999999999</v>
      </c>
      <c r="AR75" s="1">
        <v>71.945599999999999</v>
      </c>
      <c r="AS75" s="1">
        <v>3.7730000000000001</v>
      </c>
    </row>
    <row r="76" spans="1:45" x14ac:dyDescent="0.2">
      <c r="A76" s="1">
        <v>73.101299999999995</v>
      </c>
      <c r="B76" s="1">
        <v>17.373999999999999</v>
      </c>
      <c r="D76" s="1">
        <v>72.957499999999996</v>
      </c>
      <c r="E76" s="1">
        <v>14.256500000000001</v>
      </c>
      <c r="G76" s="1">
        <v>72.947599999999994</v>
      </c>
      <c r="H76" s="1">
        <v>12.661</v>
      </c>
      <c r="J76" s="1">
        <v>72.923199999999994</v>
      </c>
      <c r="K76" s="1">
        <v>15.9755</v>
      </c>
      <c r="M76" s="1">
        <v>73.069299999999998</v>
      </c>
      <c r="N76" s="1">
        <v>6.7960000000000003</v>
      </c>
      <c r="P76" s="1">
        <v>72.940399999999997</v>
      </c>
      <c r="Q76" s="1">
        <v>5.1639999999999997</v>
      </c>
      <c r="S76" s="1">
        <v>72.9238</v>
      </c>
      <c r="T76" s="1">
        <v>5.3555000000000001</v>
      </c>
      <c r="V76" s="1">
        <v>72.974100000000007</v>
      </c>
      <c r="W76" s="1">
        <v>4.78</v>
      </c>
      <c r="Y76" s="1">
        <v>72.952100000000002</v>
      </c>
      <c r="Z76" s="1">
        <v>7.056</v>
      </c>
      <c r="AB76" s="1">
        <v>72.964399999999998</v>
      </c>
      <c r="AC76" s="1">
        <v>5.5854999999999997</v>
      </c>
      <c r="AE76" s="1">
        <v>72.9422</v>
      </c>
      <c r="AF76" s="1">
        <v>6.0214999999999996</v>
      </c>
      <c r="AH76" s="1">
        <v>72.975200000000001</v>
      </c>
      <c r="AI76" s="1">
        <v>1.8009999999999999</v>
      </c>
      <c r="AL76" s="1">
        <v>72.946100000000001</v>
      </c>
      <c r="AM76" s="1">
        <v>12.4725</v>
      </c>
      <c r="AO76" s="1">
        <v>72.944800000000001</v>
      </c>
      <c r="AP76" s="1">
        <v>-1.266</v>
      </c>
      <c r="AR76" s="1">
        <v>72.952799999999996</v>
      </c>
      <c r="AS76" s="1">
        <v>3.6859999999999999</v>
      </c>
    </row>
    <row r="77" spans="1:45" x14ac:dyDescent="0.2">
      <c r="A77" s="1">
        <v>74.106200000000001</v>
      </c>
      <c r="B77" s="1">
        <v>17.3005</v>
      </c>
      <c r="D77" s="1">
        <v>73.963200000000001</v>
      </c>
      <c r="E77" s="1">
        <v>14.167999999999999</v>
      </c>
      <c r="G77" s="1">
        <v>73.957400000000007</v>
      </c>
      <c r="H77" s="1">
        <v>12.573499999999999</v>
      </c>
      <c r="J77" s="1">
        <v>73.930499999999995</v>
      </c>
      <c r="K77" s="1">
        <v>15.875</v>
      </c>
      <c r="M77" s="1">
        <v>74.074799999999996</v>
      </c>
      <c r="N77" s="1">
        <v>6.726</v>
      </c>
      <c r="P77" s="1">
        <v>73.949399999999997</v>
      </c>
      <c r="Q77" s="1">
        <v>5.0990000000000002</v>
      </c>
      <c r="S77" s="1">
        <v>73.927599999999998</v>
      </c>
      <c r="T77" s="1">
        <v>5.2869999999999999</v>
      </c>
      <c r="V77" s="1">
        <v>73.98</v>
      </c>
      <c r="W77" s="1">
        <v>4.718</v>
      </c>
      <c r="Y77" s="1">
        <v>73.957800000000006</v>
      </c>
      <c r="Z77" s="1">
        <v>6.9664999999999999</v>
      </c>
      <c r="AB77" s="1">
        <v>73.968699999999998</v>
      </c>
      <c r="AC77" s="1">
        <v>5.4855</v>
      </c>
      <c r="AE77" s="1">
        <v>73.949100000000001</v>
      </c>
      <c r="AF77" s="1">
        <v>5.9180000000000001</v>
      </c>
      <c r="AH77" s="1">
        <v>73.981300000000005</v>
      </c>
      <c r="AI77" s="1">
        <v>1.726</v>
      </c>
      <c r="AL77" s="1">
        <v>73.955500000000001</v>
      </c>
      <c r="AM77" s="1">
        <v>12.3725</v>
      </c>
      <c r="AO77" s="1">
        <v>73.951400000000007</v>
      </c>
      <c r="AP77" s="1">
        <v>-1.3434999999999999</v>
      </c>
      <c r="AR77" s="1">
        <v>73.957099999999997</v>
      </c>
      <c r="AS77" s="1">
        <v>3.6059999999999999</v>
      </c>
    </row>
    <row r="78" spans="1:45" x14ac:dyDescent="0.2">
      <c r="A78" s="1">
        <v>75.112499999999997</v>
      </c>
      <c r="B78" s="1">
        <v>17.2225</v>
      </c>
      <c r="D78" s="1">
        <v>74.9709</v>
      </c>
      <c r="E78" s="1">
        <v>14.0715</v>
      </c>
      <c r="G78" s="1">
        <v>74.966800000000006</v>
      </c>
      <c r="H78" s="1">
        <v>12.487500000000001</v>
      </c>
      <c r="J78" s="1">
        <v>74.933899999999994</v>
      </c>
      <c r="K78" s="1">
        <v>15.79</v>
      </c>
      <c r="M78" s="1">
        <v>75.080299999999994</v>
      </c>
      <c r="N78" s="1">
        <v>6.6635</v>
      </c>
      <c r="P78" s="1">
        <v>74.955100000000002</v>
      </c>
      <c r="Q78" s="1">
        <v>5.0225</v>
      </c>
      <c r="S78" s="1">
        <v>74.933000000000007</v>
      </c>
      <c r="T78" s="1">
        <v>5.22</v>
      </c>
      <c r="V78" s="1">
        <v>74.986699999999999</v>
      </c>
      <c r="W78" s="1">
        <v>4.6509999999999998</v>
      </c>
      <c r="Y78" s="1">
        <v>74.963099999999997</v>
      </c>
      <c r="Z78" s="1">
        <v>6.8849999999999998</v>
      </c>
      <c r="AB78" s="1">
        <v>74.974199999999996</v>
      </c>
      <c r="AC78" s="1">
        <v>5.3879999999999999</v>
      </c>
      <c r="AE78" s="1">
        <v>74.952399999999997</v>
      </c>
      <c r="AF78" s="1">
        <v>5.8174999999999999</v>
      </c>
      <c r="AH78" s="1">
        <v>74.989999999999995</v>
      </c>
      <c r="AI78" s="1">
        <v>1.6505000000000001</v>
      </c>
      <c r="AL78" s="1">
        <v>74.958100000000002</v>
      </c>
      <c r="AM78" s="1">
        <v>12.276999999999999</v>
      </c>
      <c r="AO78" s="1">
        <v>74.955500000000001</v>
      </c>
      <c r="AP78" s="1">
        <v>-1.4165000000000001</v>
      </c>
      <c r="AR78" s="1">
        <v>74.962299999999999</v>
      </c>
      <c r="AS78" s="1">
        <v>3.508</v>
      </c>
    </row>
    <row r="79" spans="1:45" x14ac:dyDescent="0.2">
      <c r="A79" s="1">
        <v>76.119600000000005</v>
      </c>
      <c r="B79" s="1">
        <v>17.145</v>
      </c>
      <c r="D79" s="1">
        <v>75.975499999999997</v>
      </c>
      <c r="E79" s="1">
        <v>13.983000000000001</v>
      </c>
      <c r="G79" s="1">
        <v>75.973600000000005</v>
      </c>
      <c r="H79" s="1">
        <v>12.411</v>
      </c>
      <c r="J79" s="1">
        <v>75.938199999999995</v>
      </c>
      <c r="K79" s="1">
        <v>15.702999999999999</v>
      </c>
      <c r="M79" s="1">
        <v>76.087199999999996</v>
      </c>
      <c r="N79" s="1">
        <v>6.5919999999999996</v>
      </c>
      <c r="P79" s="1">
        <v>75.9619</v>
      </c>
      <c r="Q79" s="1">
        <v>4.9535</v>
      </c>
      <c r="S79" s="1">
        <v>75.938699999999997</v>
      </c>
      <c r="T79" s="1">
        <v>5.1539999999999999</v>
      </c>
      <c r="V79" s="1">
        <v>75.993200000000002</v>
      </c>
      <c r="W79" s="1">
        <v>4.5860000000000003</v>
      </c>
      <c r="Y79" s="1">
        <v>75.968800000000002</v>
      </c>
      <c r="Z79" s="1">
        <v>6.8019999999999996</v>
      </c>
      <c r="AB79" s="1">
        <v>75.979900000000001</v>
      </c>
      <c r="AC79" s="1">
        <v>5.2910000000000004</v>
      </c>
      <c r="AE79" s="1">
        <v>75.958200000000005</v>
      </c>
      <c r="AF79" s="1">
        <v>5.7089999999999996</v>
      </c>
      <c r="AH79" s="1">
        <v>76</v>
      </c>
      <c r="AI79" s="1">
        <v>1.5725</v>
      </c>
      <c r="AL79" s="1">
        <v>75.964200000000005</v>
      </c>
      <c r="AM79" s="1">
        <v>12.18</v>
      </c>
      <c r="AO79" s="1">
        <v>75.958799999999997</v>
      </c>
      <c r="AP79" s="1">
        <v>-1.498</v>
      </c>
      <c r="AR79" s="1">
        <v>75.966499999999996</v>
      </c>
      <c r="AS79" s="1">
        <v>3.4220000000000002</v>
      </c>
    </row>
    <row r="80" spans="1:45" x14ac:dyDescent="0.2">
      <c r="A80" s="1">
        <v>77.125500000000002</v>
      </c>
      <c r="B80" s="1">
        <v>17.0685</v>
      </c>
      <c r="D80" s="1">
        <v>77.004300000000001</v>
      </c>
      <c r="E80" s="1">
        <v>13.887499999999999</v>
      </c>
      <c r="G80" s="1">
        <v>76.979900000000001</v>
      </c>
      <c r="H80" s="1">
        <v>12.3215</v>
      </c>
      <c r="J80" s="1">
        <v>76.944299999999998</v>
      </c>
      <c r="K80" s="1">
        <v>15.6105</v>
      </c>
      <c r="M80" s="1">
        <v>77.092500000000001</v>
      </c>
      <c r="N80" s="1">
        <v>6.5225</v>
      </c>
      <c r="P80" s="1">
        <v>76.968999999999994</v>
      </c>
      <c r="Q80" s="1">
        <v>4.8825000000000003</v>
      </c>
      <c r="S80" s="1">
        <v>76.945899999999995</v>
      </c>
      <c r="T80" s="1">
        <v>5.0854999999999997</v>
      </c>
      <c r="V80" s="1">
        <v>77</v>
      </c>
      <c r="W80" s="1">
        <v>4.5225</v>
      </c>
      <c r="Y80" s="1">
        <v>76.977800000000002</v>
      </c>
      <c r="Z80" s="1">
        <v>6.7195</v>
      </c>
      <c r="AB80" s="1">
        <v>76.983699999999999</v>
      </c>
      <c r="AC80" s="1">
        <v>5.1894999999999998</v>
      </c>
      <c r="AE80" s="1">
        <v>76.962900000000005</v>
      </c>
      <c r="AF80" s="1">
        <v>5.5979999999999999</v>
      </c>
      <c r="AH80" s="1">
        <v>77.006299999999996</v>
      </c>
      <c r="AI80" s="1">
        <v>1.4935</v>
      </c>
      <c r="AL80" s="1">
        <v>76.971199999999996</v>
      </c>
      <c r="AM80" s="1">
        <v>12.0845</v>
      </c>
      <c r="AO80" s="1">
        <v>76.964399999999998</v>
      </c>
      <c r="AP80" s="1">
        <v>-1.5665</v>
      </c>
      <c r="AR80" s="1">
        <v>76.973500000000001</v>
      </c>
      <c r="AS80" s="1">
        <v>3.3435000000000001</v>
      </c>
    </row>
    <row r="81" spans="1:45" x14ac:dyDescent="0.2">
      <c r="A81" s="1">
        <v>78.13</v>
      </c>
      <c r="B81" s="1">
        <v>16.997</v>
      </c>
      <c r="D81" s="1">
        <v>78.011099999999999</v>
      </c>
      <c r="E81" s="1">
        <v>13.797499999999999</v>
      </c>
      <c r="G81" s="1">
        <v>77.984700000000004</v>
      </c>
      <c r="H81" s="1">
        <v>12.231999999999999</v>
      </c>
      <c r="J81" s="1">
        <v>77.951499999999996</v>
      </c>
      <c r="K81" s="1">
        <v>15.522500000000001</v>
      </c>
      <c r="M81" s="1">
        <v>78.098600000000005</v>
      </c>
      <c r="N81" s="1">
        <v>6.45</v>
      </c>
      <c r="P81" s="1">
        <v>77.9773</v>
      </c>
      <c r="Q81" s="1">
        <v>4.8170000000000002</v>
      </c>
      <c r="S81" s="1">
        <v>77.954499999999996</v>
      </c>
      <c r="T81" s="1">
        <v>5.0125000000000002</v>
      </c>
      <c r="V81" s="1">
        <v>78.007000000000005</v>
      </c>
      <c r="W81" s="1">
        <v>4.4705000000000004</v>
      </c>
      <c r="Y81" s="1">
        <v>77.987399999999994</v>
      </c>
      <c r="Z81" s="1">
        <v>6.6364999999999998</v>
      </c>
      <c r="AB81" s="1">
        <v>77.989699999999999</v>
      </c>
      <c r="AC81" s="1">
        <v>5.0895000000000001</v>
      </c>
      <c r="AE81" s="1">
        <v>77.966899999999995</v>
      </c>
      <c r="AF81" s="1">
        <v>5.49</v>
      </c>
      <c r="AH81" s="1">
        <v>78.016199999999998</v>
      </c>
      <c r="AI81" s="1">
        <v>1.4285000000000001</v>
      </c>
      <c r="AL81" s="1">
        <v>77.975800000000007</v>
      </c>
      <c r="AM81" s="1">
        <v>11.9945</v>
      </c>
      <c r="AO81" s="1">
        <v>77.967399999999998</v>
      </c>
      <c r="AP81" s="1">
        <v>-1.6459999999999999</v>
      </c>
      <c r="AR81" s="1">
        <v>77.977900000000005</v>
      </c>
      <c r="AS81" s="1">
        <v>3.2679999999999998</v>
      </c>
    </row>
    <row r="82" spans="1:45" x14ac:dyDescent="0.2">
      <c r="A82" s="1">
        <v>79.134500000000003</v>
      </c>
      <c r="B82" s="1">
        <v>16.913</v>
      </c>
      <c r="D82" s="1">
        <v>79.017099999999999</v>
      </c>
      <c r="E82" s="1">
        <v>13.708500000000001</v>
      </c>
      <c r="G82" s="1">
        <v>78.990200000000002</v>
      </c>
      <c r="H82" s="1">
        <v>12.1465</v>
      </c>
      <c r="J82" s="1">
        <v>78.956500000000005</v>
      </c>
      <c r="K82" s="1">
        <v>15.423500000000001</v>
      </c>
      <c r="M82" s="1">
        <v>79.105099999999993</v>
      </c>
      <c r="N82" s="1">
        <v>6.367</v>
      </c>
      <c r="P82" s="1">
        <v>78.985399999999998</v>
      </c>
      <c r="Q82" s="1">
        <v>4.7454999999999998</v>
      </c>
      <c r="S82" s="1">
        <v>78.961399999999998</v>
      </c>
      <c r="T82" s="1">
        <v>4.9535</v>
      </c>
      <c r="V82" s="1">
        <v>79.0137</v>
      </c>
      <c r="W82" s="1">
        <v>4.3914999999999997</v>
      </c>
      <c r="Y82" s="1">
        <v>78.995000000000005</v>
      </c>
      <c r="Z82" s="1">
        <v>6.5570000000000004</v>
      </c>
      <c r="AB82" s="1">
        <v>78.996200000000002</v>
      </c>
      <c r="AC82" s="1">
        <v>4.9859999999999998</v>
      </c>
      <c r="AE82" s="1">
        <v>78.972300000000004</v>
      </c>
      <c r="AF82" s="1">
        <v>5.3869999999999996</v>
      </c>
      <c r="AH82" s="1">
        <v>79.020200000000003</v>
      </c>
      <c r="AI82" s="1">
        <v>1.355</v>
      </c>
      <c r="AL82" s="1">
        <v>78.981800000000007</v>
      </c>
      <c r="AM82" s="1">
        <v>11.9025</v>
      </c>
      <c r="AO82" s="1">
        <v>78.972300000000004</v>
      </c>
      <c r="AP82" s="1">
        <v>-1.7250000000000001</v>
      </c>
      <c r="AR82" s="1">
        <v>78.983999999999995</v>
      </c>
      <c r="AS82" s="1">
        <v>3.1930000000000001</v>
      </c>
    </row>
    <row r="83" spans="1:45" x14ac:dyDescent="0.2">
      <c r="A83" s="1">
        <v>80.1404</v>
      </c>
      <c r="B83" s="1">
        <v>16.839500000000001</v>
      </c>
      <c r="D83" s="1">
        <v>80.022900000000007</v>
      </c>
      <c r="E83" s="1">
        <v>13.615</v>
      </c>
      <c r="G83" s="1">
        <v>79.997900000000001</v>
      </c>
      <c r="H83" s="1">
        <v>12.0685</v>
      </c>
      <c r="J83" s="1">
        <v>79.965699999999998</v>
      </c>
      <c r="K83" s="1">
        <v>15.327</v>
      </c>
      <c r="M83" s="1">
        <v>80.108800000000002</v>
      </c>
      <c r="N83" s="1">
        <v>6.2919999999999998</v>
      </c>
      <c r="P83" s="1">
        <v>79.994699999999995</v>
      </c>
      <c r="Q83" s="1">
        <v>4.6795</v>
      </c>
      <c r="S83" s="1">
        <v>79.968500000000006</v>
      </c>
      <c r="T83" s="1">
        <v>4.8804999999999996</v>
      </c>
      <c r="V83" s="1">
        <v>80.018900000000002</v>
      </c>
      <c r="W83" s="1">
        <v>4.3360000000000003</v>
      </c>
      <c r="Y83" s="1">
        <v>79.999099999999999</v>
      </c>
      <c r="Z83" s="1">
        <v>6.4695</v>
      </c>
      <c r="AB83" s="1">
        <v>80.003500000000003</v>
      </c>
      <c r="AC83" s="1">
        <v>4.8875000000000002</v>
      </c>
      <c r="AE83" s="1">
        <v>79.977900000000005</v>
      </c>
      <c r="AF83" s="1">
        <v>5.2815000000000003</v>
      </c>
      <c r="AH83" s="1">
        <v>80.024600000000007</v>
      </c>
      <c r="AI83" s="1">
        <v>1.2869999999999999</v>
      </c>
      <c r="AL83" s="1">
        <v>79.988699999999994</v>
      </c>
      <c r="AM83" s="1">
        <v>11.8</v>
      </c>
      <c r="AO83" s="1">
        <v>79.978099999999998</v>
      </c>
      <c r="AP83" s="1">
        <v>-1.8035000000000001</v>
      </c>
      <c r="AR83" s="1">
        <v>79.987700000000004</v>
      </c>
      <c r="AS83" s="1">
        <v>3.1120000000000001</v>
      </c>
    </row>
    <row r="84" spans="1:45" x14ac:dyDescent="0.2">
      <c r="A84" s="1">
        <v>81.146799999999999</v>
      </c>
      <c r="B84" s="1">
        <v>16.763999999999999</v>
      </c>
      <c r="D84" s="1">
        <v>81.030699999999996</v>
      </c>
      <c r="E84" s="1">
        <v>13.519500000000001</v>
      </c>
      <c r="G84" s="1">
        <v>81.006799999999998</v>
      </c>
      <c r="H84" s="1">
        <v>11.977</v>
      </c>
      <c r="J84" s="1">
        <v>80.972200000000001</v>
      </c>
      <c r="K84" s="1">
        <v>15.237</v>
      </c>
      <c r="M84" s="1">
        <v>81.114699999999999</v>
      </c>
      <c r="N84" s="1">
        <v>6.226</v>
      </c>
      <c r="P84" s="1">
        <v>80.998500000000007</v>
      </c>
      <c r="Q84" s="1">
        <v>4.6105</v>
      </c>
      <c r="S84" s="1">
        <v>80.974100000000007</v>
      </c>
      <c r="T84" s="1">
        <v>4.8205</v>
      </c>
      <c r="V84" s="1">
        <v>81.028499999999994</v>
      </c>
      <c r="W84" s="1">
        <v>4.2744999999999997</v>
      </c>
      <c r="Y84" s="1">
        <v>81.004499999999993</v>
      </c>
      <c r="Z84" s="1">
        <v>6.4</v>
      </c>
      <c r="AB84" s="1">
        <v>81.009299999999996</v>
      </c>
      <c r="AC84" s="1">
        <v>4.7854999999999999</v>
      </c>
      <c r="AE84" s="1">
        <v>80.982699999999994</v>
      </c>
      <c r="AF84" s="1">
        <v>5.1749999999999998</v>
      </c>
      <c r="AH84" s="1">
        <v>81.032399999999996</v>
      </c>
      <c r="AI84" s="1">
        <v>1.2164999999999999</v>
      </c>
      <c r="AL84" s="1">
        <v>80.994799999999998</v>
      </c>
      <c r="AM84" s="1">
        <v>11.706</v>
      </c>
      <c r="AO84" s="1">
        <v>80.982100000000003</v>
      </c>
      <c r="AP84" s="1">
        <v>-1.88</v>
      </c>
      <c r="AR84" s="1">
        <v>80.993099999999998</v>
      </c>
      <c r="AS84" s="1">
        <v>3.0225</v>
      </c>
    </row>
    <row r="85" spans="1:45" x14ac:dyDescent="0.2">
      <c r="A85" s="1">
        <v>82.152799999999999</v>
      </c>
      <c r="B85" s="1">
        <v>16.689</v>
      </c>
      <c r="D85" s="1">
        <v>82.035700000000006</v>
      </c>
      <c r="E85" s="1">
        <v>13.436500000000001</v>
      </c>
      <c r="G85" s="1">
        <v>82.013800000000003</v>
      </c>
      <c r="H85" s="1">
        <v>11.897</v>
      </c>
      <c r="J85" s="1">
        <v>81.977999999999994</v>
      </c>
      <c r="K85" s="1">
        <v>15.143000000000001</v>
      </c>
      <c r="M85" s="1">
        <v>82.117800000000003</v>
      </c>
      <c r="N85" s="1">
        <v>6.1509999999999998</v>
      </c>
      <c r="P85" s="1">
        <v>82.003900000000002</v>
      </c>
      <c r="Q85" s="1">
        <v>4.5430000000000001</v>
      </c>
      <c r="S85" s="1">
        <v>81.978899999999996</v>
      </c>
      <c r="T85" s="1">
        <v>4.7545000000000002</v>
      </c>
      <c r="V85" s="1">
        <v>82.033900000000003</v>
      </c>
      <c r="W85" s="1">
        <v>4.2069999999999999</v>
      </c>
      <c r="Y85" s="1">
        <v>82.009299999999996</v>
      </c>
      <c r="Z85" s="1">
        <v>6.3135000000000003</v>
      </c>
      <c r="AB85" s="1">
        <v>82.013999999999996</v>
      </c>
      <c r="AC85" s="1">
        <v>4.6890000000000001</v>
      </c>
      <c r="AE85" s="1">
        <v>81.988299999999995</v>
      </c>
      <c r="AF85" s="1">
        <v>5.0744999999999996</v>
      </c>
      <c r="AH85" s="1">
        <v>82.040300000000002</v>
      </c>
      <c r="AI85" s="1">
        <v>1.1385000000000001</v>
      </c>
      <c r="AL85" s="1">
        <v>82.000600000000006</v>
      </c>
      <c r="AM85" s="1">
        <v>11.613</v>
      </c>
      <c r="AO85" s="1">
        <v>81.988600000000005</v>
      </c>
      <c r="AP85" s="1">
        <v>-1.9564999999999999</v>
      </c>
      <c r="AR85" s="1">
        <v>81.996399999999994</v>
      </c>
      <c r="AS85" s="1">
        <v>2.9489999999999998</v>
      </c>
    </row>
    <row r="86" spans="1:45" x14ac:dyDescent="0.2">
      <c r="A86" s="1">
        <v>83.159599999999998</v>
      </c>
      <c r="B86" s="1">
        <v>16.613499999999998</v>
      </c>
      <c r="D86" s="1">
        <v>83.040300000000002</v>
      </c>
      <c r="E86" s="1">
        <v>13.343</v>
      </c>
      <c r="G86" s="1">
        <v>83.020200000000003</v>
      </c>
      <c r="H86" s="1">
        <v>11.8155</v>
      </c>
      <c r="J86" s="1">
        <v>82.985900000000001</v>
      </c>
      <c r="K86" s="1">
        <v>15.054500000000001</v>
      </c>
      <c r="M86" s="1">
        <v>83.122799999999998</v>
      </c>
      <c r="N86" s="1">
        <v>6.0845000000000002</v>
      </c>
      <c r="P86" s="1">
        <v>83.006500000000003</v>
      </c>
      <c r="Q86" s="1">
        <v>4.4859999999999998</v>
      </c>
      <c r="S86" s="1">
        <v>82.983599999999996</v>
      </c>
      <c r="T86" s="1">
        <v>4.6849999999999996</v>
      </c>
      <c r="V86" s="1">
        <v>83.037700000000001</v>
      </c>
      <c r="W86" s="1">
        <v>4.1405000000000003</v>
      </c>
      <c r="Y86" s="1">
        <v>83.013000000000005</v>
      </c>
      <c r="Z86" s="1">
        <v>6.2329999999999997</v>
      </c>
      <c r="AB86" s="1">
        <v>83.019499999999994</v>
      </c>
      <c r="AC86" s="1">
        <v>4.5854999999999997</v>
      </c>
      <c r="AE86" s="1">
        <v>82.993099999999998</v>
      </c>
      <c r="AF86" s="1">
        <v>4.9675000000000002</v>
      </c>
      <c r="AH86" s="1">
        <v>83.046899999999994</v>
      </c>
      <c r="AI86" s="1">
        <v>1.0694999999999999</v>
      </c>
      <c r="AL86" s="1">
        <v>83.008200000000002</v>
      </c>
      <c r="AM86" s="1">
        <v>11.5245</v>
      </c>
      <c r="AO86" s="1">
        <v>82.994500000000002</v>
      </c>
      <c r="AP86" s="1">
        <v>-2.0405000000000002</v>
      </c>
      <c r="AR86" s="1">
        <v>83.002899999999997</v>
      </c>
      <c r="AS86" s="1">
        <v>2.8704999999999998</v>
      </c>
    </row>
    <row r="87" spans="1:45" x14ac:dyDescent="0.2">
      <c r="A87" s="1">
        <v>84.165300000000002</v>
      </c>
      <c r="B87" s="1">
        <v>16.545500000000001</v>
      </c>
      <c r="D87" s="1">
        <v>84.046599999999998</v>
      </c>
      <c r="E87" s="1">
        <v>13.254</v>
      </c>
      <c r="G87" s="1">
        <v>84.023899999999998</v>
      </c>
      <c r="H87" s="1">
        <v>11.7325</v>
      </c>
      <c r="J87" s="1">
        <v>83.992699999999999</v>
      </c>
      <c r="K87" s="1">
        <v>14.957000000000001</v>
      </c>
      <c r="M87" s="1">
        <v>84.130799999999994</v>
      </c>
      <c r="N87" s="1">
        <v>6.008</v>
      </c>
      <c r="P87" s="1">
        <v>84.010199999999998</v>
      </c>
      <c r="Q87" s="1">
        <v>4.4195000000000002</v>
      </c>
      <c r="S87" s="1">
        <v>83.988299999999995</v>
      </c>
      <c r="T87" s="1">
        <v>4.6210000000000004</v>
      </c>
      <c r="V87" s="1">
        <v>84.043800000000005</v>
      </c>
      <c r="W87" s="1">
        <v>4.0780000000000003</v>
      </c>
      <c r="Y87" s="1">
        <v>84.019599999999997</v>
      </c>
      <c r="Z87" s="1">
        <v>6.1470000000000002</v>
      </c>
      <c r="AB87" s="1">
        <v>84.027900000000002</v>
      </c>
      <c r="AC87" s="1">
        <v>4.4855</v>
      </c>
      <c r="AE87" s="1">
        <v>83.998500000000007</v>
      </c>
      <c r="AF87" s="1">
        <v>4.8635000000000002</v>
      </c>
      <c r="AH87" s="1">
        <v>84.052899999999994</v>
      </c>
      <c r="AI87" s="1">
        <v>0.99399999999999999</v>
      </c>
      <c r="AL87" s="1">
        <v>84.015299999999996</v>
      </c>
      <c r="AM87" s="1">
        <v>11.429500000000001</v>
      </c>
      <c r="AO87" s="1">
        <v>84.000900000000001</v>
      </c>
      <c r="AP87" s="1">
        <v>-2.1175000000000002</v>
      </c>
      <c r="AR87" s="1">
        <v>84.006900000000002</v>
      </c>
      <c r="AS87" s="1">
        <v>2.7890000000000001</v>
      </c>
    </row>
    <row r="88" spans="1:45" x14ac:dyDescent="0.2">
      <c r="A88" s="1">
        <v>85.170100000000005</v>
      </c>
      <c r="B88" s="1">
        <v>16.478000000000002</v>
      </c>
      <c r="D88" s="1">
        <v>85.051900000000003</v>
      </c>
      <c r="E88" s="1">
        <v>13.164999999999999</v>
      </c>
      <c r="G88" s="1">
        <v>85.030199999999994</v>
      </c>
      <c r="H88" s="1">
        <v>11.651</v>
      </c>
      <c r="J88" s="1">
        <v>85.000399999999999</v>
      </c>
      <c r="K88" s="1">
        <v>14.8675</v>
      </c>
      <c r="M88" s="1">
        <v>85.135499999999993</v>
      </c>
      <c r="N88" s="1">
        <v>5.9435000000000002</v>
      </c>
      <c r="P88" s="1">
        <v>85.015100000000004</v>
      </c>
      <c r="Q88" s="1">
        <v>4.351</v>
      </c>
      <c r="S88" s="1">
        <v>84.994</v>
      </c>
      <c r="T88" s="1">
        <v>4.5575000000000001</v>
      </c>
      <c r="V88" s="1">
        <v>85.048599999999993</v>
      </c>
      <c r="W88" s="1">
        <v>4.0185000000000004</v>
      </c>
      <c r="Y88" s="1">
        <v>85.024199999999993</v>
      </c>
      <c r="Z88" s="1">
        <v>6.0685000000000002</v>
      </c>
      <c r="AB88" s="1">
        <v>85.033799999999999</v>
      </c>
      <c r="AC88" s="1">
        <v>4.3905000000000003</v>
      </c>
      <c r="AE88" s="1">
        <v>85.004900000000006</v>
      </c>
      <c r="AF88" s="1">
        <v>4.7655000000000003</v>
      </c>
      <c r="AH88" s="1">
        <v>85.060599999999994</v>
      </c>
      <c r="AI88" s="1">
        <v>0.91700000000000004</v>
      </c>
      <c r="AL88" s="1">
        <v>85.020399999999995</v>
      </c>
      <c r="AM88" s="1">
        <v>11.33</v>
      </c>
      <c r="AO88" s="1">
        <v>85.0077</v>
      </c>
      <c r="AP88" s="1">
        <v>-2.1909999999999998</v>
      </c>
      <c r="AR88" s="1">
        <v>85.012900000000002</v>
      </c>
      <c r="AS88" s="1">
        <v>2.7170000000000001</v>
      </c>
    </row>
    <row r="89" spans="1:45" x14ac:dyDescent="0.2">
      <c r="A89" s="1">
        <v>86.177199999999999</v>
      </c>
      <c r="B89" s="1">
        <v>16.399999999999999</v>
      </c>
      <c r="D89" s="1">
        <v>86.056299999999993</v>
      </c>
      <c r="E89" s="1">
        <v>13.076000000000001</v>
      </c>
      <c r="G89" s="1">
        <v>86.036100000000005</v>
      </c>
      <c r="H89" s="1">
        <v>11.566000000000001</v>
      </c>
      <c r="J89" s="1">
        <v>86.006100000000004</v>
      </c>
      <c r="K89" s="1">
        <v>14.782999999999999</v>
      </c>
      <c r="M89" s="1">
        <v>86.140699999999995</v>
      </c>
      <c r="N89" s="1">
        <v>5.8685</v>
      </c>
      <c r="P89" s="1">
        <v>86.021500000000003</v>
      </c>
      <c r="Q89" s="1">
        <v>4.28</v>
      </c>
      <c r="S89" s="1">
        <v>86.002200000000002</v>
      </c>
      <c r="T89" s="1">
        <v>4.4954999999999998</v>
      </c>
      <c r="V89" s="1">
        <v>86.052800000000005</v>
      </c>
      <c r="W89" s="1">
        <v>3.9575</v>
      </c>
      <c r="Y89" s="1">
        <v>86.029700000000005</v>
      </c>
      <c r="Z89" s="1">
        <v>5.9924999999999997</v>
      </c>
      <c r="AB89" s="1">
        <v>86.037700000000001</v>
      </c>
      <c r="AC89" s="1">
        <v>4.2949999999999999</v>
      </c>
      <c r="AE89" s="1">
        <v>86.008799999999994</v>
      </c>
      <c r="AF89" s="1">
        <v>4.6539999999999999</v>
      </c>
      <c r="AH89" s="1">
        <v>86.068700000000007</v>
      </c>
      <c r="AI89" s="1">
        <v>0.83950000000000002</v>
      </c>
      <c r="AL89" s="1">
        <v>86.025800000000004</v>
      </c>
      <c r="AM89" s="1">
        <v>11.244</v>
      </c>
      <c r="AO89" s="1">
        <v>86.013099999999994</v>
      </c>
      <c r="AP89" s="1">
        <v>-2.2730000000000001</v>
      </c>
      <c r="AR89" s="1">
        <v>86.017600000000002</v>
      </c>
      <c r="AS89" s="1">
        <v>2.625</v>
      </c>
    </row>
    <row r="90" spans="1:45" x14ac:dyDescent="0.2">
      <c r="A90" s="1">
        <v>87.185299999999998</v>
      </c>
      <c r="B90" s="1">
        <v>16.327500000000001</v>
      </c>
      <c r="D90" s="1">
        <v>87.062600000000003</v>
      </c>
      <c r="E90" s="1">
        <v>12.984</v>
      </c>
      <c r="G90" s="1">
        <v>87.041700000000006</v>
      </c>
      <c r="H90" s="1">
        <v>11.487</v>
      </c>
      <c r="J90" s="1">
        <v>87.011600000000001</v>
      </c>
      <c r="K90" s="1">
        <v>14.696999999999999</v>
      </c>
      <c r="M90" s="1">
        <v>87.144099999999995</v>
      </c>
      <c r="N90" s="1">
        <v>5.7965</v>
      </c>
      <c r="P90" s="1">
        <v>87.026600000000002</v>
      </c>
      <c r="Q90" s="1">
        <v>4.2119999999999997</v>
      </c>
      <c r="S90" s="1">
        <v>87.009399999999999</v>
      </c>
      <c r="T90" s="1">
        <v>4.4210000000000003</v>
      </c>
      <c r="V90" s="1">
        <v>87.059600000000003</v>
      </c>
      <c r="W90" s="1">
        <v>3.8915000000000002</v>
      </c>
      <c r="Y90" s="1">
        <v>87.037700000000001</v>
      </c>
      <c r="Z90" s="1">
        <v>5.9130000000000003</v>
      </c>
      <c r="AB90" s="1">
        <v>87.041799999999995</v>
      </c>
      <c r="AC90" s="1">
        <v>4.1905000000000001</v>
      </c>
      <c r="AE90" s="1">
        <v>87.013400000000004</v>
      </c>
      <c r="AF90" s="1">
        <v>4.556</v>
      </c>
      <c r="AH90" s="1">
        <v>87.075800000000001</v>
      </c>
      <c r="AI90" s="1">
        <v>0.77100000000000002</v>
      </c>
      <c r="AL90" s="1">
        <v>87.030699999999996</v>
      </c>
      <c r="AM90" s="1">
        <v>11.1495</v>
      </c>
      <c r="AO90" s="1">
        <v>87.017099999999999</v>
      </c>
      <c r="AP90" s="1">
        <v>-2.351</v>
      </c>
      <c r="AR90" s="1">
        <v>87.022300000000001</v>
      </c>
      <c r="AS90" s="1">
        <v>2.5415000000000001</v>
      </c>
    </row>
    <row r="91" spans="1:45" x14ac:dyDescent="0.2">
      <c r="A91" s="1">
        <v>88.191199999999995</v>
      </c>
      <c r="B91" s="1">
        <v>16.2605</v>
      </c>
      <c r="D91" s="1">
        <v>88.069100000000006</v>
      </c>
      <c r="E91" s="1">
        <v>12.898</v>
      </c>
      <c r="G91" s="1">
        <v>88.047899999999998</v>
      </c>
      <c r="H91" s="1">
        <v>11.397500000000001</v>
      </c>
      <c r="J91" s="1">
        <v>88.018600000000006</v>
      </c>
      <c r="K91" s="1">
        <v>14.61</v>
      </c>
      <c r="M91" s="1">
        <v>88.150400000000005</v>
      </c>
      <c r="N91" s="1">
        <v>5.7264999999999997</v>
      </c>
      <c r="P91" s="1">
        <v>88.033900000000003</v>
      </c>
      <c r="Q91" s="1">
        <v>4.1449999999999996</v>
      </c>
      <c r="S91" s="1">
        <v>88.016199999999998</v>
      </c>
      <c r="T91" s="1">
        <v>4.3499999999999996</v>
      </c>
      <c r="V91" s="1">
        <v>88.066699999999997</v>
      </c>
      <c r="W91" s="1">
        <v>3.8304999999999998</v>
      </c>
      <c r="Y91" s="1">
        <v>88.044300000000007</v>
      </c>
      <c r="Z91" s="1">
        <v>5.8360000000000003</v>
      </c>
      <c r="AB91" s="1">
        <v>88.049599999999998</v>
      </c>
      <c r="AC91" s="1">
        <v>4.0984999999999996</v>
      </c>
      <c r="AE91" s="1">
        <v>88.018100000000004</v>
      </c>
      <c r="AF91" s="1">
        <v>4.45</v>
      </c>
      <c r="AH91" s="1">
        <v>88.082099999999997</v>
      </c>
      <c r="AI91" s="1">
        <v>0.7</v>
      </c>
      <c r="AL91" s="1">
        <v>88.035300000000007</v>
      </c>
      <c r="AM91" s="1">
        <v>11.058999999999999</v>
      </c>
      <c r="AO91" s="1">
        <v>88.0214</v>
      </c>
      <c r="AP91" s="1">
        <v>-2.4140000000000001</v>
      </c>
      <c r="AR91" s="1">
        <v>88.027000000000001</v>
      </c>
      <c r="AS91" s="1">
        <v>2.464</v>
      </c>
    </row>
    <row r="92" spans="1:45" x14ac:dyDescent="0.2">
      <c r="A92" s="1">
        <v>89.196700000000007</v>
      </c>
      <c r="B92" s="1">
        <v>16.190999999999999</v>
      </c>
      <c r="D92" s="1">
        <v>89.079300000000003</v>
      </c>
      <c r="E92" s="1">
        <v>12.811</v>
      </c>
      <c r="G92" s="1">
        <v>89.054699999999997</v>
      </c>
      <c r="H92" s="1">
        <v>11.317500000000001</v>
      </c>
      <c r="J92" s="1">
        <v>89.023300000000006</v>
      </c>
      <c r="K92" s="1">
        <v>14.516500000000001</v>
      </c>
      <c r="M92" s="1">
        <v>89.160300000000007</v>
      </c>
      <c r="N92" s="1">
        <v>5.6494999999999997</v>
      </c>
      <c r="P92" s="1">
        <v>89.043199999999999</v>
      </c>
      <c r="Q92" s="1">
        <v>4.0865</v>
      </c>
      <c r="S92" s="1">
        <v>89.022800000000004</v>
      </c>
      <c r="T92" s="1">
        <v>4.2949999999999999</v>
      </c>
      <c r="V92" s="1">
        <v>89.073899999999995</v>
      </c>
      <c r="W92" s="1">
        <v>3.7645</v>
      </c>
      <c r="Y92" s="1">
        <v>89.049400000000006</v>
      </c>
      <c r="Z92" s="1">
        <v>5.7565</v>
      </c>
      <c r="AB92" s="1">
        <v>89.056700000000006</v>
      </c>
      <c r="AC92" s="1">
        <v>3.9984999999999999</v>
      </c>
      <c r="AE92" s="1">
        <v>89.024199999999993</v>
      </c>
      <c r="AF92" s="1">
        <v>4.3460000000000001</v>
      </c>
      <c r="AH92" s="1">
        <v>89.094200000000001</v>
      </c>
      <c r="AI92" s="1">
        <v>0.63400000000000001</v>
      </c>
      <c r="AL92" s="1">
        <v>89.039599999999993</v>
      </c>
      <c r="AM92" s="1">
        <v>10.965</v>
      </c>
      <c r="AO92" s="1">
        <v>89.026499999999999</v>
      </c>
      <c r="AP92" s="1">
        <v>-2.4834999999999998</v>
      </c>
      <c r="AR92" s="1">
        <v>89.034000000000006</v>
      </c>
      <c r="AS92" s="1">
        <v>2.3734999999999999</v>
      </c>
    </row>
    <row r="93" spans="1:45" x14ac:dyDescent="0.2">
      <c r="A93" s="1">
        <v>90.201800000000006</v>
      </c>
      <c r="B93" s="1">
        <v>16.116</v>
      </c>
      <c r="D93" s="1">
        <v>90.083799999999997</v>
      </c>
      <c r="E93" s="1">
        <v>12.724500000000001</v>
      </c>
      <c r="G93" s="1">
        <v>90.144999999999996</v>
      </c>
      <c r="H93" s="1">
        <v>11.227</v>
      </c>
      <c r="J93" s="1">
        <v>90.029899999999998</v>
      </c>
      <c r="K93" s="1">
        <v>14.417</v>
      </c>
      <c r="M93" s="1">
        <v>90.166300000000007</v>
      </c>
      <c r="N93" s="1">
        <v>5.577</v>
      </c>
      <c r="P93" s="1">
        <v>90.0488</v>
      </c>
      <c r="Q93" s="1">
        <v>4.0194999999999999</v>
      </c>
      <c r="S93" s="1">
        <v>90.026300000000006</v>
      </c>
      <c r="T93" s="1">
        <v>4.2329999999999997</v>
      </c>
      <c r="V93" s="1">
        <v>90.077699999999993</v>
      </c>
      <c r="W93" s="1">
        <v>3.7050000000000001</v>
      </c>
      <c r="Y93" s="1">
        <v>90.053600000000003</v>
      </c>
      <c r="Z93" s="1">
        <v>5.6689999999999996</v>
      </c>
      <c r="AB93" s="1">
        <v>90.0642</v>
      </c>
      <c r="AC93" s="1">
        <v>3.8885000000000001</v>
      </c>
      <c r="AE93" s="1">
        <v>90.031000000000006</v>
      </c>
      <c r="AF93" s="1">
        <v>4.2439999999999998</v>
      </c>
      <c r="AH93" s="1">
        <v>90.102000000000004</v>
      </c>
      <c r="AI93" s="1">
        <v>0.57050000000000001</v>
      </c>
      <c r="AL93" s="1">
        <v>90.045000000000002</v>
      </c>
      <c r="AM93" s="1">
        <v>10.8725</v>
      </c>
      <c r="AO93" s="1">
        <v>90.034000000000006</v>
      </c>
      <c r="AP93" s="1">
        <v>-2.5579999999999998</v>
      </c>
      <c r="AR93" s="1">
        <v>90.039100000000005</v>
      </c>
      <c r="AS93" s="1">
        <v>2.2930000000000001</v>
      </c>
    </row>
    <row r="94" spans="1:45" x14ac:dyDescent="0.2">
      <c r="A94" s="1">
        <v>91.206400000000002</v>
      </c>
      <c r="B94" s="1">
        <v>16.05</v>
      </c>
      <c r="D94" s="1">
        <v>91.091399999999993</v>
      </c>
      <c r="E94" s="1">
        <v>12.635</v>
      </c>
      <c r="G94" s="1">
        <v>91.150700000000001</v>
      </c>
      <c r="H94" s="1">
        <v>11.1455</v>
      </c>
      <c r="J94" s="1">
        <v>91.0381</v>
      </c>
      <c r="K94" s="1">
        <v>14.329000000000001</v>
      </c>
      <c r="M94" s="1">
        <v>91.173199999999994</v>
      </c>
      <c r="N94" s="1">
        <v>5.5054999999999996</v>
      </c>
      <c r="P94" s="1">
        <v>91.054699999999997</v>
      </c>
      <c r="Q94" s="1">
        <v>3.9525000000000001</v>
      </c>
      <c r="S94" s="1">
        <v>91.032399999999996</v>
      </c>
      <c r="T94" s="1">
        <v>4.16</v>
      </c>
      <c r="V94" s="1">
        <v>91.081999999999994</v>
      </c>
      <c r="W94" s="1">
        <v>3.6395</v>
      </c>
      <c r="Y94" s="1">
        <v>91.058899999999994</v>
      </c>
      <c r="Z94" s="1">
        <v>5.5875000000000004</v>
      </c>
      <c r="AB94" s="1">
        <v>91.072100000000006</v>
      </c>
      <c r="AC94" s="1">
        <v>3.7955000000000001</v>
      </c>
      <c r="AE94" s="1">
        <v>91.0381</v>
      </c>
      <c r="AF94" s="1">
        <v>4.1440000000000001</v>
      </c>
      <c r="AH94" s="1">
        <v>91.108800000000002</v>
      </c>
      <c r="AI94" s="1">
        <v>0.501</v>
      </c>
      <c r="AL94" s="1">
        <v>91.050299999999993</v>
      </c>
      <c r="AM94" s="1">
        <v>10.778</v>
      </c>
      <c r="AO94" s="1">
        <v>91.043400000000005</v>
      </c>
      <c r="AP94" s="1">
        <v>-2.6404999999999998</v>
      </c>
      <c r="AR94" s="1">
        <v>91.044600000000003</v>
      </c>
      <c r="AS94" s="1">
        <v>2.2164999999999999</v>
      </c>
    </row>
    <row r="95" spans="1:45" x14ac:dyDescent="0.2">
      <c r="A95" s="1">
        <v>92.209400000000002</v>
      </c>
      <c r="B95" s="1">
        <v>15.984500000000001</v>
      </c>
      <c r="D95" s="1">
        <v>92.096599999999995</v>
      </c>
      <c r="E95" s="1">
        <v>12.5525</v>
      </c>
      <c r="G95" s="1">
        <v>92.156899999999993</v>
      </c>
      <c r="H95" s="1">
        <v>11.058</v>
      </c>
      <c r="J95" s="1">
        <v>92.044300000000007</v>
      </c>
      <c r="K95" s="1">
        <v>14.234999999999999</v>
      </c>
      <c r="M95" s="1">
        <v>92.181899999999999</v>
      </c>
      <c r="N95" s="1">
        <v>5.4340000000000002</v>
      </c>
      <c r="P95" s="1">
        <v>92.058899999999994</v>
      </c>
      <c r="Q95" s="1">
        <v>3.8855</v>
      </c>
      <c r="S95" s="1">
        <v>92.037499999999994</v>
      </c>
      <c r="T95" s="1">
        <v>4.0934999999999997</v>
      </c>
      <c r="V95" s="1">
        <v>92.086799999999997</v>
      </c>
      <c r="W95" s="1">
        <v>3.5779999999999998</v>
      </c>
      <c r="Y95" s="1">
        <v>92.065600000000003</v>
      </c>
      <c r="Z95" s="1">
        <v>5.5015000000000001</v>
      </c>
      <c r="AB95" s="1">
        <v>92.0779</v>
      </c>
      <c r="AC95" s="1">
        <v>3.6974999999999998</v>
      </c>
      <c r="AE95" s="1">
        <v>92.044600000000003</v>
      </c>
      <c r="AF95" s="1">
        <v>4.0395000000000003</v>
      </c>
      <c r="AH95" s="1">
        <v>92.114900000000006</v>
      </c>
      <c r="AI95" s="1">
        <v>0.42299999999999999</v>
      </c>
      <c r="AL95" s="1">
        <v>92.054900000000004</v>
      </c>
      <c r="AM95" s="1">
        <v>10.683999999999999</v>
      </c>
      <c r="AO95" s="1">
        <v>92.047600000000003</v>
      </c>
      <c r="AP95" s="1">
        <v>-2.7134999999999998</v>
      </c>
      <c r="AR95" s="1">
        <v>92.049800000000005</v>
      </c>
      <c r="AS95" s="1">
        <v>2.1320000000000001</v>
      </c>
    </row>
    <row r="96" spans="1:45" x14ac:dyDescent="0.2">
      <c r="A96" s="1">
        <v>93.2149</v>
      </c>
      <c r="B96" s="1">
        <v>15.9145</v>
      </c>
      <c r="D96" s="1">
        <v>93.102800000000002</v>
      </c>
      <c r="E96" s="1">
        <v>12.4605</v>
      </c>
      <c r="G96" s="1">
        <v>93.163300000000007</v>
      </c>
      <c r="H96" s="1">
        <v>10.981</v>
      </c>
      <c r="J96" s="1">
        <v>93.050799999999995</v>
      </c>
      <c r="K96" s="1">
        <v>14.1425</v>
      </c>
      <c r="M96" s="1">
        <v>93.188000000000002</v>
      </c>
      <c r="N96" s="1">
        <v>5.3609999999999998</v>
      </c>
      <c r="P96" s="1">
        <v>93.065100000000001</v>
      </c>
      <c r="Q96" s="1">
        <v>3.81</v>
      </c>
      <c r="S96" s="1">
        <v>93.043800000000005</v>
      </c>
      <c r="T96" s="1">
        <v>4.0289999999999999</v>
      </c>
      <c r="V96" s="1">
        <v>93.090800000000002</v>
      </c>
      <c r="W96" s="1">
        <v>3.5129999999999999</v>
      </c>
      <c r="Y96" s="1">
        <v>93.073099999999997</v>
      </c>
      <c r="Z96" s="1">
        <v>5.42</v>
      </c>
      <c r="AB96" s="1">
        <v>93.081100000000006</v>
      </c>
      <c r="AC96" s="1">
        <v>3.5964999999999998</v>
      </c>
      <c r="AE96" s="1">
        <v>93.048699999999997</v>
      </c>
      <c r="AF96" s="1">
        <v>3.9420000000000002</v>
      </c>
      <c r="AH96" s="1">
        <v>93.121799999999993</v>
      </c>
      <c r="AI96" s="1">
        <v>0.35199999999999998</v>
      </c>
      <c r="AL96" s="1">
        <v>93.060900000000004</v>
      </c>
      <c r="AM96" s="1">
        <v>10.5875</v>
      </c>
      <c r="AO96" s="1">
        <v>93.052899999999994</v>
      </c>
      <c r="AP96" s="1">
        <v>-2.7905000000000002</v>
      </c>
      <c r="AR96" s="1">
        <v>93.053899999999999</v>
      </c>
      <c r="AS96" s="1">
        <v>2.0445000000000002</v>
      </c>
    </row>
    <row r="97" spans="1:45" x14ac:dyDescent="0.2">
      <c r="A97" s="1">
        <v>94.221100000000007</v>
      </c>
      <c r="B97" s="1">
        <v>15.846</v>
      </c>
      <c r="D97" s="1">
        <v>94.111199999999997</v>
      </c>
      <c r="E97" s="1">
        <v>12.371</v>
      </c>
      <c r="G97" s="1">
        <v>94.169499999999999</v>
      </c>
      <c r="H97" s="1">
        <v>10.904</v>
      </c>
      <c r="J97" s="1">
        <v>94.055800000000005</v>
      </c>
      <c r="K97" s="1">
        <v>14.048999999999999</v>
      </c>
      <c r="M97" s="1">
        <v>94.1935</v>
      </c>
      <c r="N97" s="1">
        <v>5.29</v>
      </c>
      <c r="P97" s="1">
        <v>94.072699999999998</v>
      </c>
      <c r="Q97" s="1">
        <v>3.74</v>
      </c>
      <c r="S97" s="1">
        <v>94.047399999999996</v>
      </c>
      <c r="T97" s="1">
        <v>3.9569999999999999</v>
      </c>
      <c r="V97" s="1">
        <v>94.097899999999996</v>
      </c>
      <c r="W97" s="1">
        <v>3.4474999999999998</v>
      </c>
      <c r="Y97" s="1">
        <v>94.0762</v>
      </c>
      <c r="Z97" s="1">
        <v>5.3410000000000002</v>
      </c>
      <c r="AB97" s="1">
        <v>94.085999999999999</v>
      </c>
      <c r="AC97" s="1">
        <v>3.496</v>
      </c>
      <c r="AE97" s="1">
        <v>94.054400000000001</v>
      </c>
      <c r="AF97" s="1">
        <v>3.8410000000000002</v>
      </c>
      <c r="AH97" s="1">
        <v>94.129199999999997</v>
      </c>
      <c r="AI97" s="1">
        <v>0.28149999999999997</v>
      </c>
      <c r="AL97" s="1">
        <v>94.069900000000004</v>
      </c>
      <c r="AM97" s="1">
        <v>10.500500000000001</v>
      </c>
      <c r="AO97" s="1">
        <v>94.057400000000001</v>
      </c>
      <c r="AP97" s="1">
        <v>-2.8660000000000001</v>
      </c>
      <c r="AR97" s="1">
        <v>94.057699999999997</v>
      </c>
      <c r="AS97" s="1">
        <v>1.9684999999999999</v>
      </c>
    </row>
    <row r="98" spans="1:45" x14ac:dyDescent="0.2">
      <c r="A98" s="1">
        <v>95.226100000000002</v>
      </c>
      <c r="B98" s="1">
        <v>15.766999999999999</v>
      </c>
      <c r="D98" s="1">
        <v>95.119399999999999</v>
      </c>
      <c r="E98" s="1">
        <v>12.285</v>
      </c>
      <c r="G98" s="1">
        <v>95.175700000000006</v>
      </c>
      <c r="H98" s="1">
        <v>10.820499999999999</v>
      </c>
      <c r="J98" s="1">
        <v>95.060599999999994</v>
      </c>
      <c r="K98" s="1">
        <v>13.962</v>
      </c>
      <c r="M98" s="1">
        <v>95.2</v>
      </c>
      <c r="N98" s="1">
        <v>5.2320000000000002</v>
      </c>
      <c r="P98" s="1">
        <v>95.081599999999995</v>
      </c>
      <c r="Q98" s="1">
        <v>3.6745000000000001</v>
      </c>
      <c r="S98" s="1">
        <v>95.052400000000006</v>
      </c>
      <c r="T98" s="1">
        <v>3.8965000000000001</v>
      </c>
      <c r="V98" s="1">
        <v>95.104200000000006</v>
      </c>
      <c r="W98" s="1">
        <v>3.3864999999999998</v>
      </c>
      <c r="Y98" s="1">
        <v>95.0809</v>
      </c>
      <c r="Z98" s="1">
        <v>5.2565</v>
      </c>
      <c r="AB98" s="1">
        <v>95.093500000000006</v>
      </c>
      <c r="AC98" s="1">
        <v>3.3929999999999998</v>
      </c>
      <c r="AE98" s="1">
        <v>95.062100000000001</v>
      </c>
      <c r="AF98" s="1">
        <v>3.7450000000000001</v>
      </c>
      <c r="AH98" s="1">
        <v>95.135300000000001</v>
      </c>
      <c r="AI98" s="1">
        <v>0.20349999999999999</v>
      </c>
      <c r="AL98" s="1">
        <v>95.0779</v>
      </c>
      <c r="AM98" s="1">
        <v>10.4125</v>
      </c>
      <c r="AO98" s="1">
        <v>95.061899999999994</v>
      </c>
      <c r="AP98" s="1">
        <v>-2.9375</v>
      </c>
      <c r="AR98" s="1">
        <v>95.063699999999997</v>
      </c>
      <c r="AS98" s="1">
        <v>1.887</v>
      </c>
    </row>
    <row r="99" spans="1:45" x14ac:dyDescent="0.2">
      <c r="A99" s="1">
        <v>96.290899999999993</v>
      </c>
      <c r="B99" s="1">
        <v>15.702500000000001</v>
      </c>
      <c r="D99" s="1">
        <v>96.126199999999997</v>
      </c>
      <c r="E99" s="1">
        <v>12.2</v>
      </c>
      <c r="G99" s="1">
        <v>96.181399999999996</v>
      </c>
      <c r="H99" s="1">
        <v>10.7445</v>
      </c>
      <c r="J99" s="1">
        <v>96.069000000000003</v>
      </c>
      <c r="K99" s="1">
        <v>13.853</v>
      </c>
      <c r="M99" s="1">
        <v>96.206000000000003</v>
      </c>
      <c r="N99" s="1">
        <v>5.1580000000000004</v>
      </c>
      <c r="P99" s="1">
        <v>96.086799999999997</v>
      </c>
      <c r="Q99" s="1">
        <v>3.6114999999999999</v>
      </c>
      <c r="S99" s="1">
        <v>96.058300000000003</v>
      </c>
      <c r="T99" s="1">
        <v>3.82</v>
      </c>
      <c r="V99" s="1">
        <v>96.107600000000005</v>
      </c>
      <c r="W99" s="1">
        <v>3.3224999999999998</v>
      </c>
      <c r="Y99" s="1">
        <v>96.087900000000005</v>
      </c>
      <c r="Z99" s="1">
        <v>5.1795</v>
      </c>
      <c r="AB99" s="1">
        <v>96.098200000000006</v>
      </c>
      <c r="AC99" s="1">
        <v>3.294</v>
      </c>
      <c r="AE99" s="1">
        <v>96.068899999999999</v>
      </c>
      <c r="AF99" s="1">
        <v>3.6505000000000001</v>
      </c>
      <c r="AH99" s="1">
        <v>96.140600000000006</v>
      </c>
      <c r="AI99" s="1">
        <v>0.11849999999999999</v>
      </c>
      <c r="AL99" s="1">
        <v>96.081500000000005</v>
      </c>
      <c r="AM99" s="1">
        <v>10.324</v>
      </c>
      <c r="AO99" s="1">
        <v>96.067499999999995</v>
      </c>
      <c r="AP99" s="1">
        <v>-3.0150000000000001</v>
      </c>
      <c r="AR99" s="1">
        <v>96.067599999999999</v>
      </c>
      <c r="AS99" s="1">
        <v>1.7969999999999999</v>
      </c>
    </row>
    <row r="100" spans="1:45" x14ac:dyDescent="0.2">
      <c r="A100" s="1">
        <v>97.295299999999997</v>
      </c>
      <c r="B100" s="1">
        <v>15.635</v>
      </c>
      <c r="D100" s="1">
        <v>97.131799999999998</v>
      </c>
      <c r="E100" s="1">
        <v>12.1235</v>
      </c>
      <c r="G100" s="1">
        <v>97.1892</v>
      </c>
      <c r="H100" s="1">
        <v>10.660500000000001</v>
      </c>
      <c r="J100" s="1">
        <v>97.076099999999997</v>
      </c>
      <c r="K100" s="1">
        <v>13.766500000000001</v>
      </c>
      <c r="M100" s="1">
        <v>97.213200000000001</v>
      </c>
      <c r="N100" s="1">
        <v>5.0824999999999996</v>
      </c>
      <c r="P100" s="1">
        <v>97.093500000000006</v>
      </c>
      <c r="Q100" s="1">
        <v>3.5465</v>
      </c>
      <c r="S100" s="1">
        <v>97.063800000000001</v>
      </c>
      <c r="T100" s="1">
        <v>3.7555000000000001</v>
      </c>
      <c r="V100" s="1">
        <v>97.113</v>
      </c>
      <c r="W100" s="1">
        <v>3.2669999999999999</v>
      </c>
      <c r="Y100" s="1">
        <v>97.096900000000005</v>
      </c>
      <c r="Z100" s="1">
        <v>5.0949999999999998</v>
      </c>
      <c r="AB100" s="1">
        <v>97.104299999999995</v>
      </c>
      <c r="AC100" s="1">
        <v>3.1894999999999998</v>
      </c>
      <c r="AE100" s="1">
        <v>97.137799999999999</v>
      </c>
      <c r="AF100" s="1">
        <v>3.5430000000000001</v>
      </c>
      <c r="AH100" s="1">
        <v>97.146100000000004</v>
      </c>
      <c r="AI100" s="1">
        <v>4.8500000000000001E-2</v>
      </c>
      <c r="AL100" s="1">
        <v>97.089100000000002</v>
      </c>
      <c r="AM100" s="1">
        <v>10.228999999999999</v>
      </c>
      <c r="AO100" s="1">
        <v>97.073899999999995</v>
      </c>
      <c r="AP100" s="1">
        <v>-3.0830000000000002</v>
      </c>
      <c r="AR100" s="1">
        <v>97.0732</v>
      </c>
      <c r="AS100" s="1">
        <v>1.7164999999999999</v>
      </c>
    </row>
    <row r="101" spans="1:45" x14ac:dyDescent="0.2">
      <c r="A101" s="1">
        <v>98.303899999999999</v>
      </c>
      <c r="B101" s="1">
        <v>15.5685</v>
      </c>
      <c r="D101" s="1">
        <v>98.138000000000005</v>
      </c>
      <c r="E101" s="1">
        <v>12.0365</v>
      </c>
      <c r="G101" s="1">
        <v>98.193399999999997</v>
      </c>
      <c r="H101" s="1">
        <v>10.5915</v>
      </c>
      <c r="J101" s="1">
        <v>98.081400000000002</v>
      </c>
      <c r="K101" s="1">
        <v>13.662000000000001</v>
      </c>
      <c r="M101" s="1">
        <v>98.217799999999997</v>
      </c>
      <c r="N101" s="1">
        <v>5.0134999999999996</v>
      </c>
      <c r="P101" s="1">
        <v>98.1</v>
      </c>
      <c r="Q101" s="1">
        <v>3.4870000000000001</v>
      </c>
      <c r="S101" s="1">
        <v>98.072800000000001</v>
      </c>
      <c r="T101" s="1">
        <v>3.6880000000000002</v>
      </c>
      <c r="V101" s="1">
        <v>98.119799999999998</v>
      </c>
      <c r="W101" s="1">
        <v>3.2004999999999999</v>
      </c>
      <c r="Y101" s="1">
        <v>98.102699999999999</v>
      </c>
      <c r="Z101" s="1">
        <v>5.008</v>
      </c>
      <c r="AB101" s="1">
        <v>98.109899999999996</v>
      </c>
      <c r="AC101" s="1">
        <v>3.0920000000000001</v>
      </c>
      <c r="AE101" s="1">
        <v>98.145499999999998</v>
      </c>
      <c r="AF101" s="1">
        <v>3.444</v>
      </c>
      <c r="AH101" s="1">
        <v>98.154300000000006</v>
      </c>
      <c r="AI101" s="1">
        <v>-1.0999999999999999E-2</v>
      </c>
      <c r="AL101" s="1">
        <v>98.096699999999998</v>
      </c>
      <c r="AM101" s="1">
        <v>10.144500000000001</v>
      </c>
      <c r="AO101" s="1">
        <v>98.0809</v>
      </c>
      <c r="AP101" s="1">
        <v>-3.1619999999999999</v>
      </c>
      <c r="AR101" s="1">
        <v>98.078900000000004</v>
      </c>
      <c r="AS101" s="1">
        <v>1.635</v>
      </c>
    </row>
    <row r="102" spans="1:45" x14ac:dyDescent="0.2">
      <c r="A102" s="1">
        <v>99.309799999999996</v>
      </c>
      <c r="B102" s="1">
        <v>15.4955</v>
      </c>
      <c r="D102" s="1">
        <v>99.1434</v>
      </c>
      <c r="E102" s="1">
        <v>11.955</v>
      </c>
      <c r="G102" s="1">
        <v>99.198499999999996</v>
      </c>
      <c r="H102" s="1">
        <v>10.5085</v>
      </c>
      <c r="J102" s="1">
        <v>99.088499999999996</v>
      </c>
      <c r="K102" s="1">
        <v>13.5715</v>
      </c>
      <c r="M102" s="1">
        <v>99.224800000000002</v>
      </c>
      <c r="N102" s="1">
        <v>4.9450000000000003</v>
      </c>
      <c r="P102" s="1">
        <v>99.106200000000001</v>
      </c>
      <c r="Q102" s="1">
        <v>3.4319999999999999</v>
      </c>
      <c r="S102" s="1">
        <v>99.0792</v>
      </c>
      <c r="T102" s="1">
        <v>3.62</v>
      </c>
      <c r="V102" s="1">
        <v>99.124700000000004</v>
      </c>
      <c r="W102" s="1">
        <v>3.1419999999999999</v>
      </c>
      <c r="Y102" s="1">
        <v>99.109499999999997</v>
      </c>
      <c r="Z102" s="1">
        <v>4.9279999999999999</v>
      </c>
      <c r="AB102" s="1">
        <v>99.116399999999999</v>
      </c>
      <c r="AC102" s="1">
        <v>3.0005000000000002</v>
      </c>
      <c r="AE102" s="1">
        <v>99.152000000000001</v>
      </c>
      <c r="AF102" s="1">
        <v>3.347</v>
      </c>
      <c r="AH102" s="1">
        <v>99.164900000000003</v>
      </c>
      <c r="AI102" s="1">
        <v>-7.5999999999999998E-2</v>
      </c>
      <c r="AL102" s="1">
        <v>99.104299999999995</v>
      </c>
      <c r="AM102" s="1">
        <v>10.0565</v>
      </c>
      <c r="AO102" s="1">
        <v>99.086500000000001</v>
      </c>
      <c r="AP102" s="1">
        <v>-3.234</v>
      </c>
      <c r="AR102" s="1">
        <v>99.083799999999997</v>
      </c>
      <c r="AS102" s="1">
        <v>1.5580000000000001</v>
      </c>
    </row>
    <row r="103" spans="1:45" x14ac:dyDescent="0.2">
      <c r="A103" s="1">
        <v>100.31699999999999</v>
      </c>
      <c r="B103" s="1">
        <v>15.4255</v>
      </c>
      <c r="D103" s="1">
        <v>100.15</v>
      </c>
      <c r="E103" s="1">
        <v>11.8645</v>
      </c>
      <c r="G103" s="1">
        <v>100.20099999999999</v>
      </c>
      <c r="H103" s="1">
        <v>10.433999999999999</v>
      </c>
      <c r="J103" s="1">
        <v>100.092</v>
      </c>
      <c r="K103" s="1">
        <v>13.480499999999999</v>
      </c>
      <c r="M103" s="1">
        <v>100.232</v>
      </c>
      <c r="N103" s="1">
        <v>4.8659999999999997</v>
      </c>
      <c r="P103" s="1">
        <v>100.114</v>
      </c>
      <c r="Q103" s="1">
        <v>3.3555000000000001</v>
      </c>
      <c r="S103" s="1">
        <v>100.087</v>
      </c>
      <c r="T103" s="1">
        <v>3.5550000000000002</v>
      </c>
      <c r="V103" s="1">
        <v>100.129</v>
      </c>
      <c r="W103" s="1">
        <v>3.0880000000000001</v>
      </c>
      <c r="Y103" s="1">
        <v>100.117</v>
      </c>
      <c r="Z103" s="1">
        <v>4.8339999999999996</v>
      </c>
      <c r="AB103" s="1">
        <v>100.121</v>
      </c>
      <c r="AC103" s="1">
        <v>2.9024999999999999</v>
      </c>
      <c r="AE103" s="1">
        <v>100.158</v>
      </c>
      <c r="AF103" s="1">
        <v>3.2545000000000002</v>
      </c>
      <c r="AH103" s="1">
        <v>100.169</v>
      </c>
      <c r="AI103" s="1">
        <v>-0.14849999999999999</v>
      </c>
      <c r="AL103" s="1">
        <v>100.111</v>
      </c>
      <c r="AM103" s="1">
        <v>9.9625000000000004</v>
      </c>
      <c r="AO103" s="1">
        <v>100.093</v>
      </c>
      <c r="AP103" s="1">
        <v>-3.3065000000000002</v>
      </c>
      <c r="AR103" s="1">
        <v>100.089</v>
      </c>
      <c r="AS103" s="1">
        <v>1.4790000000000001</v>
      </c>
    </row>
    <row r="104" spans="1:45" x14ac:dyDescent="0.2">
      <c r="A104" s="1">
        <v>101.322</v>
      </c>
      <c r="B104" s="1">
        <v>15.353999999999999</v>
      </c>
      <c r="D104" s="1">
        <v>101.158</v>
      </c>
      <c r="E104" s="1">
        <v>11.7845</v>
      </c>
      <c r="G104" s="1">
        <v>101.206</v>
      </c>
      <c r="H104" s="1">
        <v>10.347</v>
      </c>
      <c r="J104" s="1">
        <v>101.096</v>
      </c>
      <c r="K104" s="1">
        <v>13.3935</v>
      </c>
      <c r="M104" s="1">
        <v>101.24</v>
      </c>
      <c r="N104" s="1">
        <v>4.79</v>
      </c>
      <c r="P104" s="1">
        <v>101.12</v>
      </c>
      <c r="Q104" s="1">
        <v>3.2839999999999998</v>
      </c>
      <c r="S104" s="1">
        <v>101.093</v>
      </c>
      <c r="T104" s="1">
        <v>3.4889999999999999</v>
      </c>
      <c r="V104" s="1">
        <v>101.133</v>
      </c>
      <c r="W104" s="1">
        <v>3.024</v>
      </c>
      <c r="Y104" s="1">
        <v>101.123</v>
      </c>
      <c r="Z104" s="1">
        <v>4.7549999999999999</v>
      </c>
      <c r="AB104" s="1">
        <v>101.127</v>
      </c>
      <c r="AC104" s="1">
        <v>2.802</v>
      </c>
      <c r="AE104" s="1">
        <v>101.163</v>
      </c>
      <c r="AF104" s="1">
        <v>3.1615000000000002</v>
      </c>
      <c r="AH104" s="1">
        <v>101.176</v>
      </c>
      <c r="AI104" s="1">
        <v>-0.21249999999999999</v>
      </c>
      <c r="AL104" s="1">
        <v>101.117</v>
      </c>
      <c r="AM104" s="1">
        <v>9.8650000000000002</v>
      </c>
      <c r="AO104" s="1">
        <v>101.101</v>
      </c>
      <c r="AP104" s="1">
        <v>-3.3805000000000001</v>
      </c>
      <c r="AR104" s="1">
        <v>101.093</v>
      </c>
      <c r="AS104" s="1">
        <v>1.3885000000000001</v>
      </c>
    </row>
    <row r="105" spans="1:45" x14ac:dyDescent="0.2">
      <c r="A105" s="1">
        <v>102.327</v>
      </c>
      <c r="B105" s="1">
        <v>15.282</v>
      </c>
      <c r="D105" s="1">
        <v>102.164</v>
      </c>
      <c r="E105" s="1">
        <v>11.702</v>
      </c>
      <c r="G105" s="1">
        <v>102.21</v>
      </c>
      <c r="H105" s="1">
        <v>10.269500000000001</v>
      </c>
      <c r="J105" s="1">
        <v>102.101</v>
      </c>
      <c r="K105" s="1">
        <v>13.3055</v>
      </c>
      <c r="M105" s="1">
        <v>102.245</v>
      </c>
      <c r="N105" s="1">
        <v>4.7134999999999998</v>
      </c>
      <c r="P105" s="1">
        <v>102.126</v>
      </c>
      <c r="Q105" s="1">
        <v>3.2235</v>
      </c>
      <c r="S105" s="1">
        <v>102.1</v>
      </c>
      <c r="T105" s="1">
        <v>3.4285000000000001</v>
      </c>
      <c r="V105" s="1">
        <v>102.13800000000001</v>
      </c>
      <c r="W105" s="1">
        <v>2.9605000000000001</v>
      </c>
      <c r="Y105" s="1">
        <v>102.129</v>
      </c>
      <c r="Z105" s="1">
        <v>4.6755000000000004</v>
      </c>
      <c r="AB105" s="1">
        <v>102.13500000000001</v>
      </c>
      <c r="AC105" s="1">
        <v>2.7004999999999999</v>
      </c>
      <c r="AE105" s="1">
        <v>102.169</v>
      </c>
      <c r="AF105" s="1">
        <v>3.0619999999999998</v>
      </c>
      <c r="AH105" s="1">
        <v>102.182</v>
      </c>
      <c r="AI105" s="1">
        <v>-0.28649999999999998</v>
      </c>
      <c r="AL105" s="1">
        <v>102.125</v>
      </c>
      <c r="AM105" s="1">
        <v>9.7750000000000004</v>
      </c>
      <c r="AO105" s="1">
        <v>102.10599999999999</v>
      </c>
      <c r="AP105" s="1">
        <v>-3.448</v>
      </c>
      <c r="AR105" s="1">
        <v>102.099</v>
      </c>
      <c r="AS105" s="1">
        <v>1.3025</v>
      </c>
    </row>
    <row r="106" spans="1:45" x14ac:dyDescent="0.2">
      <c r="A106" s="1">
        <v>103.33199999999999</v>
      </c>
      <c r="B106" s="1">
        <v>15.217499999999999</v>
      </c>
      <c r="D106" s="1">
        <v>103.16800000000001</v>
      </c>
      <c r="E106" s="1">
        <v>11.6205</v>
      </c>
      <c r="G106" s="1">
        <v>103.215</v>
      </c>
      <c r="H106" s="1">
        <v>10.1935</v>
      </c>
      <c r="J106" s="1">
        <v>103.10599999999999</v>
      </c>
      <c r="K106" s="1">
        <v>13.2195</v>
      </c>
      <c r="M106" s="1">
        <v>103.25</v>
      </c>
      <c r="N106" s="1">
        <v>4.6440000000000001</v>
      </c>
      <c r="P106" s="1">
        <v>103.13</v>
      </c>
      <c r="Q106" s="1">
        <v>3.1509999999999998</v>
      </c>
      <c r="S106" s="1">
        <v>103.104</v>
      </c>
      <c r="T106" s="1">
        <v>3.3610000000000002</v>
      </c>
      <c r="V106" s="1">
        <v>103.14400000000001</v>
      </c>
      <c r="W106" s="1">
        <v>2.9015</v>
      </c>
      <c r="Y106" s="1">
        <v>103.134</v>
      </c>
      <c r="Z106" s="1">
        <v>4.5910000000000002</v>
      </c>
      <c r="AB106" s="1">
        <v>103.142</v>
      </c>
      <c r="AC106" s="1">
        <v>2.6070000000000002</v>
      </c>
      <c r="AE106" s="1">
        <v>103.17700000000001</v>
      </c>
      <c r="AF106" s="1">
        <v>2.9609999999999999</v>
      </c>
      <c r="AH106" s="1">
        <v>103.18600000000001</v>
      </c>
      <c r="AI106" s="1">
        <v>-0.35749999999999998</v>
      </c>
      <c r="AL106" s="1">
        <v>103.13200000000001</v>
      </c>
      <c r="AM106" s="1">
        <v>9.6925000000000008</v>
      </c>
      <c r="AO106" s="1">
        <v>103.11199999999999</v>
      </c>
      <c r="AP106" s="1">
        <v>-3.516</v>
      </c>
      <c r="AR106" s="1">
        <v>103.10599999999999</v>
      </c>
      <c r="AS106" s="1">
        <v>1.2170000000000001</v>
      </c>
    </row>
    <row r="107" spans="1:45" x14ac:dyDescent="0.2">
      <c r="A107" s="1">
        <v>104.33799999999999</v>
      </c>
      <c r="B107" s="1">
        <v>15.1425</v>
      </c>
      <c r="D107" s="1">
        <v>104.173</v>
      </c>
      <c r="E107" s="1">
        <v>11.54</v>
      </c>
      <c r="G107" s="1">
        <v>104.221</v>
      </c>
      <c r="H107" s="1">
        <v>10.118</v>
      </c>
      <c r="J107" s="1">
        <v>104.11199999999999</v>
      </c>
      <c r="K107" s="1">
        <v>13.122999999999999</v>
      </c>
      <c r="M107" s="1">
        <v>104.255</v>
      </c>
      <c r="N107" s="1">
        <v>4.5754999999999999</v>
      </c>
      <c r="P107" s="1">
        <v>104.136</v>
      </c>
      <c r="Q107" s="1">
        <v>3.0840000000000001</v>
      </c>
      <c r="S107" s="1">
        <v>104.107</v>
      </c>
      <c r="T107" s="1">
        <v>3.2989999999999999</v>
      </c>
      <c r="V107" s="1">
        <v>104.149</v>
      </c>
      <c r="W107" s="1">
        <v>2.8424999999999998</v>
      </c>
      <c r="Y107" s="1">
        <v>104.139</v>
      </c>
      <c r="Z107" s="1">
        <v>4.5069999999999997</v>
      </c>
      <c r="AB107" s="1">
        <v>104.151</v>
      </c>
      <c r="AC107" s="1">
        <v>2.5129999999999999</v>
      </c>
      <c r="AE107" s="1">
        <v>104.18600000000001</v>
      </c>
      <c r="AF107" s="1">
        <v>2.8635000000000002</v>
      </c>
      <c r="AH107" s="1">
        <v>104.18899999999999</v>
      </c>
      <c r="AI107" s="1">
        <v>-0.434</v>
      </c>
      <c r="AL107" s="1">
        <v>104.13800000000001</v>
      </c>
      <c r="AM107" s="1">
        <v>9.6039999999999992</v>
      </c>
      <c r="AO107" s="1">
        <v>104.116</v>
      </c>
      <c r="AP107" s="1">
        <v>-3.5905</v>
      </c>
      <c r="AR107" s="1">
        <v>104.10899999999999</v>
      </c>
      <c r="AS107" s="1">
        <v>1.1419999999999999</v>
      </c>
    </row>
    <row r="108" spans="1:45" x14ac:dyDescent="0.2">
      <c r="A108" s="1">
        <v>105.345</v>
      </c>
      <c r="B108" s="1">
        <v>15.074</v>
      </c>
      <c r="D108" s="1">
        <v>105.178</v>
      </c>
      <c r="E108" s="1">
        <v>11.4605</v>
      </c>
      <c r="G108" s="1">
        <v>105.227</v>
      </c>
      <c r="H108" s="1">
        <v>10.028</v>
      </c>
      <c r="J108" s="1">
        <v>105.116</v>
      </c>
      <c r="K108" s="1">
        <v>13.034000000000001</v>
      </c>
      <c r="M108" s="1">
        <v>105.26300000000001</v>
      </c>
      <c r="N108" s="1">
        <v>4.5039999999999996</v>
      </c>
      <c r="P108" s="1">
        <v>105.14400000000001</v>
      </c>
      <c r="Q108" s="1">
        <v>3.0125000000000002</v>
      </c>
      <c r="S108" s="1">
        <v>105.113</v>
      </c>
      <c r="T108" s="1">
        <v>3.2345000000000002</v>
      </c>
      <c r="V108" s="1">
        <v>105.15600000000001</v>
      </c>
      <c r="W108" s="1">
        <v>2.7814999999999999</v>
      </c>
      <c r="Y108" s="1">
        <v>105.142</v>
      </c>
      <c r="Z108" s="1">
        <v>4.4264999999999999</v>
      </c>
      <c r="AB108" s="1">
        <v>105.157</v>
      </c>
      <c r="AC108" s="1">
        <v>2.423</v>
      </c>
      <c r="AE108" s="1">
        <v>105.19199999999999</v>
      </c>
      <c r="AF108" s="1">
        <v>2.7685</v>
      </c>
      <c r="AH108" s="1">
        <v>105.197</v>
      </c>
      <c r="AI108" s="1">
        <v>-0.49099999999999999</v>
      </c>
      <c r="AL108" s="1">
        <v>105.146</v>
      </c>
      <c r="AM108" s="1">
        <v>9.5079999999999991</v>
      </c>
      <c r="AO108" s="1">
        <v>105.123</v>
      </c>
      <c r="AP108" s="1">
        <v>-3.6595</v>
      </c>
      <c r="AR108" s="1">
        <v>105.113</v>
      </c>
      <c r="AS108" s="1">
        <v>1.07</v>
      </c>
    </row>
    <row r="109" spans="1:45" x14ac:dyDescent="0.2">
      <c r="A109" s="1">
        <v>106.35</v>
      </c>
      <c r="B109" s="1">
        <v>15.0085</v>
      </c>
      <c r="D109" s="1">
        <v>106.18300000000001</v>
      </c>
      <c r="E109" s="1">
        <v>11.381</v>
      </c>
      <c r="G109" s="1">
        <v>106.23699999999999</v>
      </c>
      <c r="H109" s="1">
        <v>9.9484999999999992</v>
      </c>
      <c r="J109" s="1">
        <v>106.122</v>
      </c>
      <c r="K109" s="1">
        <v>12.946999999999999</v>
      </c>
      <c r="M109" s="1">
        <v>106.268</v>
      </c>
      <c r="N109" s="1">
        <v>4.4329999999999998</v>
      </c>
      <c r="P109" s="1">
        <v>106.151</v>
      </c>
      <c r="Q109" s="1">
        <v>2.9529999999999998</v>
      </c>
      <c r="S109" s="1">
        <v>106.119</v>
      </c>
      <c r="T109" s="1">
        <v>3.17</v>
      </c>
      <c r="V109" s="1">
        <v>106.16200000000001</v>
      </c>
      <c r="W109" s="1">
        <v>2.7294999999999998</v>
      </c>
      <c r="Y109" s="1">
        <v>106.148</v>
      </c>
      <c r="Z109" s="1">
        <v>4.3434999999999997</v>
      </c>
      <c r="AB109" s="1">
        <v>106.161</v>
      </c>
      <c r="AC109" s="1">
        <v>2.3180000000000001</v>
      </c>
      <c r="AE109" s="1">
        <v>106.20099999999999</v>
      </c>
      <c r="AF109" s="1">
        <v>2.6705000000000001</v>
      </c>
      <c r="AH109" s="1">
        <v>106.205</v>
      </c>
      <c r="AI109" s="1">
        <v>-0.5635</v>
      </c>
      <c r="AL109" s="1">
        <v>106.148</v>
      </c>
      <c r="AM109" s="1">
        <v>9.4175000000000004</v>
      </c>
      <c r="AO109" s="1">
        <v>106.13</v>
      </c>
      <c r="AP109" s="1">
        <v>-3.7280000000000002</v>
      </c>
      <c r="AR109" s="1">
        <v>106.11799999999999</v>
      </c>
      <c r="AS109" s="1">
        <v>0.99050000000000005</v>
      </c>
    </row>
    <row r="110" spans="1:45" x14ac:dyDescent="0.2">
      <c r="A110" s="1">
        <v>107.355</v>
      </c>
      <c r="B110" s="1">
        <v>14.938000000000001</v>
      </c>
      <c r="D110" s="1">
        <v>107.187</v>
      </c>
      <c r="E110" s="1">
        <v>11.295</v>
      </c>
      <c r="G110" s="1">
        <v>107.24299999999999</v>
      </c>
      <c r="H110" s="1">
        <v>9.8674999999999997</v>
      </c>
      <c r="J110" s="1">
        <v>107.127</v>
      </c>
      <c r="K110" s="1">
        <v>12.855499999999999</v>
      </c>
      <c r="M110" s="1">
        <v>107.274</v>
      </c>
      <c r="N110" s="1">
        <v>4.351</v>
      </c>
      <c r="P110" s="1">
        <v>107.15900000000001</v>
      </c>
      <c r="Q110" s="1">
        <v>2.8919999999999999</v>
      </c>
      <c r="S110" s="1">
        <v>107.128</v>
      </c>
      <c r="T110" s="1">
        <v>3.1034999999999999</v>
      </c>
      <c r="V110" s="1">
        <v>107.169</v>
      </c>
      <c r="W110" s="1">
        <v>2.6844999999999999</v>
      </c>
      <c r="Y110" s="1">
        <v>107.15300000000001</v>
      </c>
      <c r="Z110" s="1">
        <v>4.2694999999999999</v>
      </c>
      <c r="AB110" s="1">
        <v>107.16800000000001</v>
      </c>
      <c r="AC110" s="1">
        <v>2.2275</v>
      </c>
      <c r="AE110" s="1">
        <v>107.208</v>
      </c>
      <c r="AF110" s="1">
        <v>2.5794999999999999</v>
      </c>
      <c r="AH110" s="1">
        <v>107.21</v>
      </c>
      <c r="AI110" s="1">
        <v>-0.63600000000000001</v>
      </c>
      <c r="AL110" s="1">
        <v>107.155</v>
      </c>
      <c r="AM110" s="1">
        <v>9.3369999999999997</v>
      </c>
      <c r="AO110" s="1">
        <v>107.136</v>
      </c>
      <c r="AP110" s="1">
        <v>-3.7989999999999999</v>
      </c>
      <c r="AR110" s="1">
        <v>107.125</v>
      </c>
      <c r="AS110" s="1">
        <v>0.91500000000000004</v>
      </c>
    </row>
    <row r="111" spans="1:45" x14ac:dyDescent="0.2">
      <c r="A111" s="1">
        <v>108.361</v>
      </c>
      <c r="B111" s="1">
        <v>14.871499999999999</v>
      </c>
      <c r="D111" s="1">
        <v>108.193</v>
      </c>
      <c r="E111" s="1">
        <v>11.207000000000001</v>
      </c>
      <c r="G111" s="1">
        <v>108.25</v>
      </c>
      <c r="H111" s="1">
        <v>9.7895000000000003</v>
      </c>
      <c r="J111" s="1">
        <v>108.131</v>
      </c>
      <c r="K111" s="1">
        <v>12.765000000000001</v>
      </c>
      <c r="M111" s="1">
        <v>108.28100000000001</v>
      </c>
      <c r="N111" s="1">
        <v>4.2789999999999999</v>
      </c>
      <c r="P111" s="1">
        <v>108.16500000000001</v>
      </c>
      <c r="Q111" s="1">
        <v>2.8130000000000002</v>
      </c>
      <c r="S111" s="1">
        <v>108.13800000000001</v>
      </c>
      <c r="T111" s="1">
        <v>3.0425</v>
      </c>
      <c r="V111" s="1">
        <v>108.181</v>
      </c>
      <c r="W111" s="1">
        <v>2.6219999999999999</v>
      </c>
      <c r="Y111" s="1">
        <v>108.16</v>
      </c>
      <c r="Z111" s="1">
        <v>4.1875</v>
      </c>
      <c r="AB111" s="1">
        <v>108.17400000000001</v>
      </c>
      <c r="AC111" s="1">
        <v>2.1335000000000002</v>
      </c>
      <c r="AE111" s="1">
        <v>108.212</v>
      </c>
      <c r="AF111" s="1">
        <v>2.488</v>
      </c>
      <c r="AH111" s="1">
        <v>108.218</v>
      </c>
      <c r="AI111" s="1">
        <v>-0.70450000000000002</v>
      </c>
      <c r="AL111" s="1">
        <v>108.161</v>
      </c>
      <c r="AM111" s="1">
        <v>9.25</v>
      </c>
      <c r="AO111" s="1">
        <v>108.14100000000001</v>
      </c>
      <c r="AP111" s="1">
        <v>-3.863</v>
      </c>
      <c r="AR111" s="1">
        <v>108.133</v>
      </c>
      <c r="AS111" s="1">
        <v>0.83750000000000002</v>
      </c>
    </row>
    <row r="112" spans="1:45" x14ac:dyDescent="0.2">
      <c r="A112" s="1">
        <v>109.371</v>
      </c>
      <c r="B112" s="1">
        <v>14.7965</v>
      </c>
      <c r="D112" s="1">
        <v>109.19799999999999</v>
      </c>
      <c r="E112" s="1">
        <v>11.1295</v>
      </c>
      <c r="G112" s="1">
        <v>109.255</v>
      </c>
      <c r="H112" s="1">
        <v>9.7114999999999991</v>
      </c>
      <c r="J112" s="1">
        <v>109.136</v>
      </c>
      <c r="K112" s="1">
        <v>12.68</v>
      </c>
      <c r="M112" s="1">
        <v>109.288</v>
      </c>
      <c r="N112" s="1">
        <v>4.2089999999999996</v>
      </c>
      <c r="P112" s="1">
        <v>109.17100000000001</v>
      </c>
      <c r="Q112" s="1">
        <v>2.7440000000000002</v>
      </c>
      <c r="S112" s="1">
        <v>109.145</v>
      </c>
      <c r="T112" s="1">
        <v>2.9809999999999999</v>
      </c>
      <c r="V112" s="1">
        <v>109.188</v>
      </c>
      <c r="W112" s="1">
        <v>2.5674999999999999</v>
      </c>
      <c r="Y112" s="1">
        <v>109.166</v>
      </c>
      <c r="Z112" s="1">
        <v>4.0984999999999996</v>
      </c>
      <c r="AB112" s="1">
        <v>109.176</v>
      </c>
      <c r="AC112" s="1">
        <v>2.0474999999999999</v>
      </c>
      <c r="AE112" s="1">
        <v>109.217</v>
      </c>
      <c r="AF112" s="1">
        <v>2.395</v>
      </c>
      <c r="AH112" s="1">
        <v>109.224</v>
      </c>
      <c r="AI112" s="1">
        <v>-0.76700000000000002</v>
      </c>
      <c r="AL112" s="1">
        <v>109.166</v>
      </c>
      <c r="AM112" s="1">
        <v>9.1585000000000001</v>
      </c>
      <c r="AO112" s="1">
        <v>109.14700000000001</v>
      </c>
      <c r="AP112" s="1">
        <v>-3.9344999999999999</v>
      </c>
      <c r="AR112" s="1">
        <v>109.139</v>
      </c>
      <c r="AS112" s="1">
        <v>0.74199999999999999</v>
      </c>
    </row>
    <row r="113" spans="1:45" x14ac:dyDescent="0.2">
      <c r="A113" s="1">
        <v>110.375</v>
      </c>
      <c r="B113" s="1">
        <v>14.7285</v>
      </c>
      <c r="D113" s="1">
        <v>110.20399999999999</v>
      </c>
      <c r="E113" s="1">
        <v>11.044499999999999</v>
      </c>
      <c r="G113" s="1">
        <v>110.261</v>
      </c>
      <c r="H113" s="1">
        <v>9.6300000000000008</v>
      </c>
      <c r="J113" s="1">
        <v>110.145</v>
      </c>
      <c r="K113" s="1">
        <v>12.6015</v>
      </c>
      <c r="M113" s="1">
        <v>110.294</v>
      </c>
      <c r="N113" s="1">
        <v>4.1395</v>
      </c>
      <c r="P113" s="1">
        <v>110.179</v>
      </c>
      <c r="Q113" s="1">
        <v>2.6775000000000002</v>
      </c>
      <c r="S113" s="1">
        <v>110.15300000000001</v>
      </c>
      <c r="T113" s="1">
        <v>2.9075000000000002</v>
      </c>
      <c r="V113" s="1">
        <v>110.193</v>
      </c>
      <c r="W113" s="1">
        <v>2.5110000000000001</v>
      </c>
      <c r="Y113" s="1">
        <v>110.17</v>
      </c>
      <c r="Z113" s="1">
        <v>4.0279999999999996</v>
      </c>
      <c r="AB113" s="1">
        <v>110.181</v>
      </c>
      <c r="AC113" s="1">
        <v>1.948</v>
      </c>
      <c r="AE113" s="1">
        <v>110.22199999999999</v>
      </c>
      <c r="AF113" s="1">
        <v>2.3005</v>
      </c>
      <c r="AH113" s="1">
        <v>110.23099999999999</v>
      </c>
      <c r="AI113" s="1">
        <v>-0.83150000000000002</v>
      </c>
      <c r="AL113" s="1">
        <v>110.17100000000001</v>
      </c>
      <c r="AM113" s="1">
        <v>9.0709999999999997</v>
      </c>
      <c r="AO113" s="1">
        <v>110.154</v>
      </c>
      <c r="AP113" s="1">
        <v>-4.0030000000000001</v>
      </c>
      <c r="AR113" s="1">
        <v>110.14700000000001</v>
      </c>
      <c r="AS113" s="1">
        <v>0.66449999999999998</v>
      </c>
    </row>
    <row r="114" spans="1:45" x14ac:dyDescent="0.2">
      <c r="A114" s="1">
        <v>111.383</v>
      </c>
      <c r="B114" s="1">
        <v>14.662000000000001</v>
      </c>
      <c r="D114" s="1">
        <v>111.214</v>
      </c>
      <c r="E114" s="1">
        <v>10.961</v>
      </c>
      <c r="G114" s="1">
        <v>111.267</v>
      </c>
      <c r="H114" s="1">
        <v>9.5495000000000001</v>
      </c>
      <c r="J114" s="1">
        <v>111.151</v>
      </c>
      <c r="K114" s="1">
        <v>12.4975</v>
      </c>
      <c r="M114" s="1">
        <v>111.301</v>
      </c>
      <c r="N114" s="1">
        <v>4.069</v>
      </c>
      <c r="P114" s="1">
        <v>111.187</v>
      </c>
      <c r="Q114" s="1">
        <v>2.617</v>
      </c>
      <c r="S114" s="1">
        <v>111.16200000000001</v>
      </c>
      <c r="T114" s="1">
        <v>2.8405</v>
      </c>
      <c r="V114" s="1">
        <v>111.2</v>
      </c>
      <c r="W114" s="1">
        <v>2.4544999999999999</v>
      </c>
      <c r="Y114" s="1">
        <v>111.173</v>
      </c>
      <c r="Z114" s="1">
        <v>3.9605000000000001</v>
      </c>
      <c r="AB114" s="1">
        <v>111.18600000000001</v>
      </c>
      <c r="AC114" s="1">
        <v>1.847</v>
      </c>
      <c r="AE114" s="1">
        <v>111.22799999999999</v>
      </c>
      <c r="AF114" s="1">
        <v>2.1974999999999998</v>
      </c>
      <c r="AH114" s="1">
        <v>111.236</v>
      </c>
      <c r="AI114" s="1">
        <v>-0.90149999999999997</v>
      </c>
      <c r="AL114" s="1">
        <v>111.17700000000001</v>
      </c>
      <c r="AM114" s="1">
        <v>8.9819999999999993</v>
      </c>
      <c r="AO114" s="1">
        <v>111.15900000000001</v>
      </c>
      <c r="AP114" s="1">
        <v>-4.0659999999999998</v>
      </c>
      <c r="AR114" s="1">
        <v>111.152</v>
      </c>
      <c r="AS114" s="1">
        <v>0.58699999999999997</v>
      </c>
    </row>
    <row r="115" spans="1:45" x14ac:dyDescent="0.2">
      <c r="A115" s="1">
        <v>112.38800000000001</v>
      </c>
      <c r="B115" s="1">
        <v>14.593999999999999</v>
      </c>
      <c r="D115" s="1">
        <v>112.223</v>
      </c>
      <c r="E115" s="1">
        <v>10.872999999999999</v>
      </c>
      <c r="G115" s="1">
        <v>112.27500000000001</v>
      </c>
      <c r="H115" s="1">
        <v>9.4674999999999994</v>
      </c>
      <c r="J115" s="1">
        <v>112.157</v>
      </c>
      <c r="K115" s="1">
        <v>12.401</v>
      </c>
      <c r="M115" s="1">
        <v>112.309</v>
      </c>
      <c r="N115" s="1">
        <v>4</v>
      </c>
      <c r="P115" s="1">
        <v>112.193</v>
      </c>
      <c r="Q115" s="1">
        <v>2.5470000000000002</v>
      </c>
      <c r="S115" s="1">
        <v>112.16800000000001</v>
      </c>
      <c r="T115" s="1">
        <v>2.7745000000000002</v>
      </c>
      <c r="V115" s="1">
        <v>112.209</v>
      </c>
      <c r="W115" s="1">
        <v>2.399</v>
      </c>
      <c r="Y115" s="1">
        <v>112.18</v>
      </c>
      <c r="Z115" s="1">
        <v>3.8784999999999998</v>
      </c>
      <c r="AB115" s="1">
        <v>112.19499999999999</v>
      </c>
      <c r="AC115" s="1">
        <v>1.75</v>
      </c>
      <c r="AE115" s="1">
        <v>112.232</v>
      </c>
      <c r="AF115" s="1">
        <v>2.0979999999999999</v>
      </c>
      <c r="AH115" s="1">
        <v>112.245</v>
      </c>
      <c r="AI115" s="1">
        <v>-0.96650000000000003</v>
      </c>
      <c r="AL115" s="1">
        <v>112.182</v>
      </c>
      <c r="AM115" s="1">
        <v>8.891</v>
      </c>
      <c r="AO115" s="1">
        <v>112.16500000000001</v>
      </c>
      <c r="AP115" s="1">
        <v>-4.1289999999999996</v>
      </c>
      <c r="AR115" s="1">
        <v>112.15900000000001</v>
      </c>
      <c r="AS115" s="1">
        <v>0.51349999999999996</v>
      </c>
    </row>
    <row r="116" spans="1:45" x14ac:dyDescent="0.2">
      <c r="A116" s="1">
        <v>113.392</v>
      </c>
      <c r="B116" s="1">
        <v>14.531000000000001</v>
      </c>
      <c r="D116" s="1">
        <v>113.23</v>
      </c>
      <c r="E116" s="1">
        <v>10.789</v>
      </c>
      <c r="G116" s="1">
        <v>113.282</v>
      </c>
      <c r="H116" s="1">
        <v>9.3825000000000003</v>
      </c>
      <c r="J116" s="1">
        <v>113.164</v>
      </c>
      <c r="K116" s="1">
        <v>12.307</v>
      </c>
      <c r="M116" s="1">
        <v>113.313</v>
      </c>
      <c r="N116" s="1">
        <v>3.9264999999999999</v>
      </c>
      <c r="P116" s="1">
        <v>113.199</v>
      </c>
      <c r="Q116" s="1">
        <v>2.4790000000000001</v>
      </c>
      <c r="S116" s="1">
        <v>113.173</v>
      </c>
      <c r="T116" s="1">
        <v>2.714</v>
      </c>
      <c r="V116" s="1">
        <v>113.214</v>
      </c>
      <c r="W116" s="1">
        <v>2.3410000000000002</v>
      </c>
      <c r="Y116" s="1">
        <v>113.184</v>
      </c>
      <c r="Z116" s="1">
        <v>3.7974999999999999</v>
      </c>
      <c r="AB116" s="1">
        <v>113.2</v>
      </c>
      <c r="AC116" s="1">
        <v>1.6525000000000001</v>
      </c>
      <c r="AE116" s="1">
        <v>113.238</v>
      </c>
      <c r="AF116" s="1">
        <v>2.008</v>
      </c>
      <c r="AH116" s="1">
        <v>113.254</v>
      </c>
      <c r="AI116" s="1">
        <v>-1.0335000000000001</v>
      </c>
      <c r="AL116" s="1">
        <v>113.187</v>
      </c>
      <c r="AM116" s="1">
        <v>8.7995000000000001</v>
      </c>
      <c r="AO116" s="1">
        <v>113.16800000000001</v>
      </c>
      <c r="AP116" s="1">
        <v>-4.1820000000000004</v>
      </c>
      <c r="AR116" s="1">
        <v>113.163</v>
      </c>
      <c r="AS116" s="1">
        <v>0.42949999999999999</v>
      </c>
    </row>
    <row r="117" spans="1:45" x14ac:dyDescent="0.2">
      <c r="A117" s="1">
        <v>114.396</v>
      </c>
      <c r="B117" s="1">
        <v>14.462</v>
      </c>
      <c r="D117" s="1">
        <v>114.239</v>
      </c>
      <c r="E117" s="1">
        <v>10.709</v>
      </c>
      <c r="G117" s="1">
        <v>114.289</v>
      </c>
      <c r="H117" s="1">
        <v>9.3045000000000009</v>
      </c>
      <c r="J117" s="1">
        <v>114.17</v>
      </c>
      <c r="K117" s="1">
        <v>12.214499999999999</v>
      </c>
      <c r="M117" s="1">
        <v>114.31699999999999</v>
      </c>
      <c r="N117" s="1">
        <v>3.8555000000000001</v>
      </c>
      <c r="P117" s="1">
        <v>114.20399999999999</v>
      </c>
      <c r="Q117" s="1">
        <v>2.4095</v>
      </c>
      <c r="S117" s="1">
        <v>114.178</v>
      </c>
      <c r="T117" s="1">
        <v>2.6469999999999998</v>
      </c>
      <c r="V117" s="1">
        <v>114.224</v>
      </c>
      <c r="W117" s="1">
        <v>2.282</v>
      </c>
      <c r="Y117" s="1">
        <v>114.188</v>
      </c>
      <c r="Z117" s="1">
        <v>3.7204999999999999</v>
      </c>
      <c r="AB117" s="1">
        <v>114.202</v>
      </c>
      <c r="AC117" s="1">
        <v>1.5620000000000001</v>
      </c>
      <c r="AE117" s="1">
        <v>114.244</v>
      </c>
      <c r="AF117" s="1">
        <v>1.9085000000000001</v>
      </c>
      <c r="AH117" s="1">
        <v>114.259</v>
      </c>
      <c r="AI117" s="1">
        <v>-1.1005</v>
      </c>
      <c r="AL117" s="1">
        <v>114.194</v>
      </c>
      <c r="AM117" s="1">
        <v>8.7149999999999999</v>
      </c>
      <c r="AO117" s="1">
        <v>114.172</v>
      </c>
      <c r="AP117" s="1">
        <v>-4.2104999999999997</v>
      </c>
      <c r="AR117" s="1">
        <v>114.169</v>
      </c>
      <c r="AS117" s="1">
        <v>0.34649999999999997</v>
      </c>
    </row>
    <row r="118" spans="1:45" x14ac:dyDescent="0.2">
      <c r="A118" s="1">
        <v>115.40300000000001</v>
      </c>
      <c r="B118" s="1">
        <v>14.385</v>
      </c>
      <c r="D118" s="1">
        <v>115.244</v>
      </c>
      <c r="E118" s="1">
        <v>10.628</v>
      </c>
      <c r="G118" s="1">
        <v>115.294</v>
      </c>
      <c r="H118" s="1">
        <v>9.2219999999999995</v>
      </c>
      <c r="J118" s="1">
        <v>115.17700000000001</v>
      </c>
      <c r="K118" s="1">
        <v>12.1145</v>
      </c>
      <c r="M118" s="1">
        <v>115.321</v>
      </c>
      <c r="N118" s="1">
        <v>3.7894999999999999</v>
      </c>
      <c r="P118" s="1">
        <v>115.211</v>
      </c>
      <c r="Q118" s="1">
        <v>2.343</v>
      </c>
      <c r="S118" s="1">
        <v>115.18300000000001</v>
      </c>
      <c r="T118" s="1">
        <v>2.5819999999999999</v>
      </c>
      <c r="V118" s="1">
        <v>115.232</v>
      </c>
      <c r="W118" s="1">
        <v>2.2244999999999999</v>
      </c>
      <c r="Y118" s="1">
        <v>115.19199999999999</v>
      </c>
      <c r="Z118" s="1">
        <v>3.6419999999999999</v>
      </c>
      <c r="AB118" s="1">
        <v>115.20399999999999</v>
      </c>
      <c r="AC118" s="1">
        <v>1.4670000000000001</v>
      </c>
      <c r="AE118" s="1">
        <v>115.252</v>
      </c>
      <c r="AF118" s="1">
        <v>1.8129999999999999</v>
      </c>
      <c r="AH118" s="1">
        <v>115.265</v>
      </c>
      <c r="AI118" s="1">
        <v>-1.1685000000000001</v>
      </c>
      <c r="AL118" s="1">
        <v>115.20099999999999</v>
      </c>
      <c r="AM118" s="1">
        <v>8.6265000000000001</v>
      </c>
      <c r="AO118" s="1">
        <v>115.17700000000001</v>
      </c>
      <c r="AP118" s="1">
        <v>-4.2374999999999998</v>
      </c>
      <c r="AR118" s="1">
        <v>115.17400000000001</v>
      </c>
      <c r="AS118" s="1">
        <v>0.27500000000000002</v>
      </c>
    </row>
    <row r="119" spans="1:45" x14ac:dyDescent="0.2">
      <c r="A119" s="1">
        <v>116.41</v>
      </c>
      <c r="B119" s="1">
        <v>14.326499999999999</v>
      </c>
      <c r="D119" s="1">
        <v>116.252</v>
      </c>
      <c r="E119" s="1">
        <v>10.536</v>
      </c>
      <c r="G119" s="1">
        <v>116.29900000000001</v>
      </c>
      <c r="H119" s="1">
        <v>9.1425000000000001</v>
      </c>
      <c r="J119" s="1">
        <v>116.182</v>
      </c>
      <c r="K119" s="1">
        <v>12.021000000000001</v>
      </c>
      <c r="M119" s="1">
        <v>116.327</v>
      </c>
      <c r="N119" s="1">
        <v>3.7290000000000001</v>
      </c>
      <c r="P119" s="1">
        <v>116.22</v>
      </c>
      <c r="Q119" s="1">
        <v>2.2765</v>
      </c>
      <c r="S119" s="1">
        <v>116.191</v>
      </c>
      <c r="T119" s="1">
        <v>2.5165000000000002</v>
      </c>
      <c r="V119" s="1">
        <v>116.239</v>
      </c>
      <c r="W119" s="1">
        <v>2.1775000000000002</v>
      </c>
      <c r="Y119" s="1">
        <v>116.19799999999999</v>
      </c>
      <c r="Z119" s="1">
        <v>3.5649999999999999</v>
      </c>
      <c r="AB119" s="1">
        <v>116.209</v>
      </c>
      <c r="AC119" s="1">
        <v>1.373</v>
      </c>
      <c r="AE119" s="1">
        <v>116.258</v>
      </c>
      <c r="AF119" s="1">
        <v>1.7175</v>
      </c>
      <c r="AH119" s="1">
        <v>116.273</v>
      </c>
      <c r="AI119" s="1">
        <v>-1.244</v>
      </c>
      <c r="AL119" s="1">
        <v>116.209</v>
      </c>
      <c r="AM119" s="1">
        <v>8.5370000000000008</v>
      </c>
      <c r="AO119" s="1">
        <v>116.18600000000001</v>
      </c>
      <c r="AP119" s="1">
        <v>-4.2510000000000003</v>
      </c>
      <c r="AR119" s="1">
        <v>116.178</v>
      </c>
      <c r="AS119" s="1">
        <v>0.19900000000000001</v>
      </c>
    </row>
    <row r="120" spans="1:45" x14ac:dyDescent="0.2">
      <c r="A120" s="1">
        <v>117.41500000000001</v>
      </c>
      <c r="B120" s="1">
        <v>14.254</v>
      </c>
      <c r="D120" s="1">
        <v>117.26</v>
      </c>
      <c r="E120" s="1">
        <v>10.449</v>
      </c>
      <c r="G120" s="1">
        <v>117.307</v>
      </c>
      <c r="H120" s="1">
        <v>9.0634999999999994</v>
      </c>
      <c r="J120" s="1">
        <v>117.18899999999999</v>
      </c>
      <c r="K120" s="1">
        <v>11.9285</v>
      </c>
      <c r="M120" s="1">
        <v>117.333</v>
      </c>
      <c r="N120" s="1">
        <v>3.6560000000000001</v>
      </c>
      <c r="P120" s="1">
        <v>117.226</v>
      </c>
      <c r="Q120" s="1">
        <v>2.2080000000000002</v>
      </c>
      <c r="S120" s="1">
        <v>117.19799999999999</v>
      </c>
      <c r="T120" s="1">
        <v>2.4565000000000001</v>
      </c>
      <c r="V120" s="1">
        <v>117.244</v>
      </c>
      <c r="W120" s="1">
        <v>2.1320000000000001</v>
      </c>
      <c r="Y120" s="1">
        <v>117.203</v>
      </c>
      <c r="Z120" s="1">
        <v>3.5</v>
      </c>
      <c r="AB120" s="1">
        <v>117.214</v>
      </c>
      <c r="AC120" s="1">
        <v>1.2709999999999999</v>
      </c>
      <c r="AE120" s="1">
        <v>117.264</v>
      </c>
      <c r="AF120" s="1">
        <v>1.621</v>
      </c>
      <c r="AH120" s="1">
        <v>117.28</v>
      </c>
      <c r="AI120" s="1">
        <v>-1.3035000000000001</v>
      </c>
      <c r="AL120" s="1">
        <v>117.21299999999999</v>
      </c>
      <c r="AM120" s="1">
        <v>8.4450000000000003</v>
      </c>
      <c r="AO120" s="1">
        <v>117.19199999999999</v>
      </c>
      <c r="AP120" s="1">
        <v>-4.2394999999999996</v>
      </c>
      <c r="AR120" s="1">
        <v>117.18300000000001</v>
      </c>
      <c r="AS120" s="1">
        <v>0.107</v>
      </c>
    </row>
    <row r="121" spans="1:45" x14ac:dyDescent="0.2">
      <c r="A121" s="1">
        <v>118.42100000000001</v>
      </c>
      <c r="B121" s="1">
        <v>14.19</v>
      </c>
      <c r="D121" s="1">
        <v>118.265</v>
      </c>
      <c r="E121" s="1">
        <v>10.36</v>
      </c>
      <c r="G121" s="1">
        <v>118.31399999999999</v>
      </c>
      <c r="H121" s="1">
        <v>8.9785000000000004</v>
      </c>
      <c r="J121" s="1">
        <v>118.196</v>
      </c>
      <c r="K121" s="1">
        <v>11.839</v>
      </c>
      <c r="M121" s="1">
        <v>118.337</v>
      </c>
      <c r="N121" s="1">
        <v>3.5859999999999999</v>
      </c>
      <c r="P121" s="1">
        <v>118.235</v>
      </c>
      <c r="Q121" s="1">
        <v>2.145</v>
      </c>
      <c r="S121" s="1">
        <v>118.203</v>
      </c>
      <c r="T121" s="1">
        <v>2.395</v>
      </c>
      <c r="V121" s="1">
        <v>118.249</v>
      </c>
      <c r="W121" s="1">
        <v>2.073</v>
      </c>
      <c r="Y121" s="1">
        <v>118.208</v>
      </c>
      <c r="Z121" s="1">
        <v>3.4125000000000001</v>
      </c>
      <c r="AB121" s="1">
        <v>118.221</v>
      </c>
      <c r="AC121" s="1">
        <v>1.177</v>
      </c>
      <c r="AE121" s="1">
        <v>118.273</v>
      </c>
      <c r="AF121" s="1">
        <v>1.5285</v>
      </c>
      <c r="AH121" s="1">
        <v>118.288</v>
      </c>
      <c r="AI121" s="1">
        <v>-1.3685</v>
      </c>
      <c r="AL121" s="1">
        <v>118.217</v>
      </c>
      <c r="AM121" s="1">
        <v>8.3614999999999995</v>
      </c>
      <c r="AO121" s="1">
        <v>118.197</v>
      </c>
      <c r="AP121" s="1">
        <v>-4.2039999999999997</v>
      </c>
      <c r="AR121" s="1">
        <v>118.188</v>
      </c>
      <c r="AS121" s="1">
        <v>2.9499999999999998E-2</v>
      </c>
    </row>
    <row r="122" spans="1:45" x14ac:dyDescent="0.2">
      <c r="A122" s="1">
        <v>119.426</v>
      </c>
      <c r="B122" s="1">
        <v>14.132999999999999</v>
      </c>
      <c r="D122" s="1">
        <v>119.27200000000001</v>
      </c>
      <c r="E122" s="1">
        <v>10.271000000000001</v>
      </c>
      <c r="G122" s="1">
        <v>119.32</v>
      </c>
      <c r="H122" s="1">
        <v>8.8994999999999997</v>
      </c>
      <c r="J122" s="1">
        <v>119.203</v>
      </c>
      <c r="K122" s="1">
        <v>11.749499999999999</v>
      </c>
      <c r="M122" s="1">
        <v>119.34399999999999</v>
      </c>
      <c r="N122" s="1">
        <v>3.5145</v>
      </c>
      <c r="P122" s="1">
        <v>119.24</v>
      </c>
      <c r="Q122" s="1">
        <v>2.089</v>
      </c>
      <c r="S122" s="1">
        <v>119.209</v>
      </c>
      <c r="T122" s="1">
        <v>2.3235000000000001</v>
      </c>
      <c r="V122" s="1">
        <v>119.254</v>
      </c>
      <c r="W122" s="1">
        <v>2.0205000000000002</v>
      </c>
      <c r="Y122" s="1">
        <v>119.21299999999999</v>
      </c>
      <c r="Z122" s="1">
        <v>3.3359999999999999</v>
      </c>
      <c r="AB122" s="1">
        <v>119.22799999999999</v>
      </c>
      <c r="AC122" s="1">
        <v>1.0820000000000001</v>
      </c>
      <c r="AE122" s="1">
        <v>119.279</v>
      </c>
      <c r="AF122" s="1">
        <v>1.4415</v>
      </c>
      <c r="AH122" s="1">
        <v>119.294</v>
      </c>
      <c r="AI122" s="1">
        <v>-1.4455</v>
      </c>
      <c r="AL122" s="1">
        <v>119.224</v>
      </c>
      <c r="AM122" s="1">
        <v>8.2680000000000007</v>
      </c>
      <c r="AO122" s="1">
        <v>119.20099999999999</v>
      </c>
      <c r="AP122" s="1">
        <v>-4.157</v>
      </c>
      <c r="AR122" s="1">
        <v>119.196</v>
      </c>
      <c r="AS122" s="1">
        <v>-4.5999999999999999E-2</v>
      </c>
    </row>
    <row r="123" spans="1:45" x14ac:dyDescent="0.2">
      <c r="A123" s="1">
        <v>120.431</v>
      </c>
      <c r="B123" s="1">
        <v>14.0595</v>
      </c>
      <c r="D123" s="1">
        <v>120.279</v>
      </c>
      <c r="E123" s="1">
        <v>10.183</v>
      </c>
      <c r="G123" s="1">
        <v>120.327</v>
      </c>
      <c r="H123" s="1">
        <v>8.8179999999999996</v>
      </c>
      <c r="J123" s="1">
        <v>120.209</v>
      </c>
      <c r="K123" s="1">
        <v>11.666499999999999</v>
      </c>
      <c r="M123" s="1">
        <v>120.346</v>
      </c>
      <c r="N123" s="1">
        <v>3.4344999999999999</v>
      </c>
      <c r="P123" s="1">
        <v>120.245</v>
      </c>
      <c r="Q123" s="1">
        <v>2.0245000000000002</v>
      </c>
      <c r="S123" s="1">
        <v>120.214</v>
      </c>
      <c r="T123" s="1">
        <v>2.2559999999999998</v>
      </c>
      <c r="V123" s="1">
        <v>120.259</v>
      </c>
      <c r="W123" s="1">
        <v>1.9684999999999999</v>
      </c>
      <c r="Y123" s="1">
        <v>120.218</v>
      </c>
      <c r="Z123" s="1">
        <v>3.2555000000000001</v>
      </c>
      <c r="AB123" s="1">
        <v>120.236</v>
      </c>
      <c r="AC123" s="1">
        <v>0.99199999999999999</v>
      </c>
      <c r="AE123" s="1">
        <v>120.283</v>
      </c>
      <c r="AF123" s="1">
        <v>1.341</v>
      </c>
      <c r="AH123" s="1">
        <v>120.3</v>
      </c>
      <c r="AI123" s="1">
        <v>-1.5069999999999999</v>
      </c>
      <c r="AL123" s="1">
        <v>120.23099999999999</v>
      </c>
      <c r="AM123" s="1">
        <v>8.1739999999999995</v>
      </c>
      <c r="AO123" s="1">
        <v>120.20699999999999</v>
      </c>
      <c r="AP123" s="1">
        <v>-4.0904999999999996</v>
      </c>
      <c r="AR123" s="1">
        <v>120.203</v>
      </c>
      <c r="AS123" s="1">
        <v>-0.126</v>
      </c>
    </row>
    <row r="124" spans="1:45" x14ac:dyDescent="0.2">
      <c r="A124" s="1">
        <v>121.437</v>
      </c>
      <c r="B124" s="1">
        <v>13.994999999999999</v>
      </c>
      <c r="D124" s="1">
        <v>121.28400000000001</v>
      </c>
      <c r="E124" s="1">
        <v>10.105499999999999</v>
      </c>
      <c r="G124" s="1">
        <v>121.331</v>
      </c>
      <c r="H124" s="1">
        <v>8.7405000000000008</v>
      </c>
      <c r="J124" s="1">
        <v>121.214</v>
      </c>
      <c r="K124" s="1">
        <v>11.573</v>
      </c>
      <c r="M124" s="1">
        <v>121.351</v>
      </c>
      <c r="N124" s="1">
        <v>3.3580000000000001</v>
      </c>
      <c r="P124" s="1">
        <v>121.252</v>
      </c>
      <c r="Q124" s="1">
        <v>1.9655</v>
      </c>
      <c r="S124" s="1">
        <v>121.218</v>
      </c>
      <c r="T124" s="1">
        <v>2.2029999999999998</v>
      </c>
      <c r="V124" s="1">
        <v>121.26600000000001</v>
      </c>
      <c r="W124" s="1">
        <v>1.9155</v>
      </c>
      <c r="Y124" s="1">
        <v>121.223</v>
      </c>
      <c r="Z124" s="1">
        <v>3.1709999999999998</v>
      </c>
      <c r="AB124" s="1">
        <v>121.24</v>
      </c>
      <c r="AC124" s="1">
        <v>0.90100000000000002</v>
      </c>
      <c r="AE124" s="1">
        <v>121.288</v>
      </c>
      <c r="AF124" s="1">
        <v>1.2355</v>
      </c>
      <c r="AH124" s="1">
        <v>121.304</v>
      </c>
      <c r="AI124" s="1">
        <v>-1.5760000000000001</v>
      </c>
      <c r="AL124" s="1">
        <v>121.238</v>
      </c>
      <c r="AM124" s="1">
        <v>8.0875000000000004</v>
      </c>
      <c r="AO124" s="1">
        <v>121.211</v>
      </c>
      <c r="AP124" s="1">
        <v>-4.0345000000000004</v>
      </c>
      <c r="AR124" s="1">
        <v>121.209</v>
      </c>
      <c r="AS124" s="1">
        <v>-0.2</v>
      </c>
    </row>
    <row r="125" spans="1:45" x14ac:dyDescent="0.2">
      <c r="A125" s="1">
        <v>122.44499999999999</v>
      </c>
      <c r="B125" s="1">
        <v>13.929500000000001</v>
      </c>
      <c r="D125" s="1">
        <v>122.291</v>
      </c>
      <c r="E125" s="1">
        <v>10.0205</v>
      </c>
      <c r="G125" s="1">
        <v>122.33799999999999</v>
      </c>
      <c r="H125" s="1">
        <v>8.6684999999999999</v>
      </c>
      <c r="J125" s="1">
        <v>122.22</v>
      </c>
      <c r="K125" s="1">
        <v>11.484</v>
      </c>
      <c r="M125" s="1">
        <v>122.35899999999999</v>
      </c>
      <c r="N125" s="1">
        <v>3.2894999999999999</v>
      </c>
      <c r="P125" s="1">
        <v>122.259</v>
      </c>
      <c r="Q125" s="1">
        <v>1.9015</v>
      </c>
      <c r="S125" s="1">
        <v>122.224</v>
      </c>
      <c r="T125" s="1">
        <v>2.1335000000000002</v>
      </c>
      <c r="V125" s="1">
        <v>122.273</v>
      </c>
      <c r="W125" s="1">
        <v>1.8505</v>
      </c>
      <c r="Y125" s="1">
        <v>122.23</v>
      </c>
      <c r="Z125" s="1">
        <v>3.0979999999999999</v>
      </c>
      <c r="AB125" s="1">
        <v>122.246</v>
      </c>
      <c r="AC125" s="1">
        <v>0.8</v>
      </c>
      <c r="AE125" s="1">
        <v>122.29300000000001</v>
      </c>
      <c r="AF125" s="1">
        <v>1.147</v>
      </c>
      <c r="AH125" s="1">
        <v>122.312</v>
      </c>
      <c r="AI125" s="1">
        <v>-1.6495</v>
      </c>
      <c r="AL125" s="1">
        <v>122.24299999999999</v>
      </c>
      <c r="AM125" s="1">
        <v>8.0054999999999996</v>
      </c>
      <c r="AO125" s="1">
        <v>122.217</v>
      </c>
      <c r="AP125" s="1">
        <v>-3.9710000000000001</v>
      </c>
      <c r="AR125" s="1">
        <v>122.215</v>
      </c>
      <c r="AS125" s="1">
        <v>-0.28050000000000003</v>
      </c>
    </row>
    <row r="126" spans="1:45" x14ac:dyDescent="0.2">
      <c r="A126" s="1">
        <v>123.452</v>
      </c>
      <c r="B126" s="1">
        <v>13.8645</v>
      </c>
      <c r="D126" s="1">
        <v>123.298</v>
      </c>
      <c r="E126" s="1">
        <v>9.9245000000000001</v>
      </c>
      <c r="G126" s="1">
        <v>123.34399999999999</v>
      </c>
      <c r="H126" s="1">
        <v>8.5884999999999998</v>
      </c>
      <c r="J126" s="1">
        <v>123.22499999999999</v>
      </c>
      <c r="K126" s="1">
        <v>11.398999999999999</v>
      </c>
      <c r="M126" s="1">
        <v>123.363</v>
      </c>
      <c r="N126" s="1">
        <v>3.2174999999999998</v>
      </c>
      <c r="P126" s="1">
        <v>123.265</v>
      </c>
      <c r="Q126" s="1">
        <v>1.8405</v>
      </c>
      <c r="S126" s="1">
        <v>123.227</v>
      </c>
      <c r="T126" s="1">
        <v>2.0680000000000001</v>
      </c>
      <c r="V126" s="1">
        <v>123.27800000000001</v>
      </c>
      <c r="W126" s="1">
        <v>1.8035000000000001</v>
      </c>
      <c r="Y126" s="1">
        <v>123.239</v>
      </c>
      <c r="Z126" s="1">
        <v>3.0215000000000001</v>
      </c>
      <c r="AB126" s="1">
        <v>123.254</v>
      </c>
      <c r="AC126" s="1">
        <v>0.70299999999999996</v>
      </c>
      <c r="AE126" s="1">
        <v>123.29900000000001</v>
      </c>
      <c r="AF126" s="1">
        <v>1.054</v>
      </c>
      <c r="AH126" s="1">
        <v>123.31699999999999</v>
      </c>
      <c r="AI126" s="1">
        <v>-1.7135</v>
      </c>
      <c r="AL126" s="1">
        <v>123.249</v>
      </c>
      <c r="AM126" s="1">
        <v>7.9154999999999998</v>
      </c>
      <c r="AO126" s="1">
        <v>123.22199999999999</v>
      </c>
      <c r="AP126" s="1">
        <v>-3.9195000000000002</v>
      </c>
      <c r="AR126" s="1">
        <v>123.21899999999999</v>
      </c>
      <c r="AS126" s="1">
        <v>-0.36149999999999999</v>
      </c>
    </row>
    <row r="127" spans="1:45" x14ac:dyDescent="0.2">
      <c r="A127" s="1">
        <v>124.458</v>
      </c>
      <c r="B127" s="1">
        <v>13.795</v>
      </c>
      <c r="D127" s="1">
        <v>124.307</v>
      </c>
      <c r="E127" s="1">
        <v>9.8369999999999997</v>
      </c>
      <c r="G127" s="1">
        <v>124.35</v>
      </c>
      <c r="H127" s="1">
        <v>8.5024999999999995</v>
      </c>
      <c r="J127" s="1">
        <v>124.23099999999999</v>
      </c>
      <c r="K127" s="1">
        <v>11.3035</v>
      </c>
      <c r="M127" s="1">
        <v>124.36799999999999</v>
      </c>
      <c r="N127" s="1">
        <v>3.1469999999999998</v>
      </c>
      <c r="P127" s="1">
        <v>124.26900000000001</v>
      </c>
      <c r="Q127" s="1">
        <v>1.7789999999999999</v>
      </c>
      <c r="S127" s="1">
        <v>124.235</v>
      </c>
      <c r="T127" s="1">
        <v>1.9950000000000001</v>
      </c>
      <c r="V127" s="1">
        <v>124.283</v>
      </c>
      <c r="W127" s="1">
        <v>1.7535000000000001</v>
      </c>
      <c r="Y127" s="1">
        <v>124.244</v>
      </c>
      <c r="Z127" s="1">
        <v>2.948</v>
      </c>
      <c r="AB127" s="1">
        <v>124.261</v>
      </c>
      <c r="AC127" s="1">
        <v>0.60850000000000004</v>
      </c>
      <c r="AE127" s="1">
        <v>124.30200000000001</v>
      </c>
      <c r="AF127" s="1">
        <v>0.96099999999999997</v>
      </c>
      <c r="AH127" s="1">
        <v>124.322</v>
      </c>
      <c r="AI127" s="1">
        <v>-1.772</v>
      </c>
      <c r="AL127" s="1">
        <v>124.255</v>
      </c>
      <c r="AM127" s="1">
        <v>7.8179999999999996</v>
      </c>
      <c r="AO127" s="1">
        <v>124.227</v>
      </c>
      <c r="AP127" s="1">
        <v>-3.87</v>
      </c>
      <c r="AR127" s="1">
        <v>124.22499999999999</v>
      </c>
      <c r="AS127" s="1">
        <v>-0.443</v>
      </c>
    </row>
    <row r="128" spans="1:45" x14ac:dyDescent="0.2">
      <c r="A128" s="1">
        <v>125.461</v>
      </c>
      <c r="B128" s="1">
        <v>13.7315</v>
      </c>
      <c r="D128" s="1">
        <v>125.313</v>
      </c>
      <c r="E128" s="1">
        <v>9.7590000000000003</v>
      </c>
      <c r="G128" s="1">
        <v>125.358</v>
      </c>
      <c r="H128" s="1">
        <v>8.4239999999999995</v>
      </c>
      <c r="J128" s="1">
        <v>125.236</v>
      </c>
      <c r="K128" s="1">
        <v>11.208500000000001</v>
      </c>
      <c r="M128" s="1">
        <v>125.373</v>
      </c>
      <c r="N128" s="1">
        <v>3.069</v>
      </c>
      <c r="P128" s="1">
        <v>125.27500000000001</v>
      </c>
      <c r="Q128" s="1">
        <v>1.716</v>
      </c>
      <c r="S128" s="1">
        <v>125.242</v>
      </c>
      <c r="T128" s="1">
        <v>1.9239999999999999</v>
      </c>
      <c r="V128" s="1">
        <v>125.286</v>
      </c>
      <c r="W128" s="1">
        <v>1.6950000000000001</v>
      </c>
      <c r="Y128" s="1">
        <v>125.247</v>
      </c>
      <c r="Z128" s="1">
        <v>2.8725000000000001</v>
      </c>
      <c r="AB128" s="1">
        <v>125.26900000000001</v>
      </c>
      <c r="AC128" s="1">
        <v>0.50900000000000001</v>
      </c>
      <c r="AE128" s="1">
        <v>125.30800000000001</v>
      </c>
      <c r="AF128" s="1">
        <v>0.85950000000000004</v>
      </c>
      <c r="AH128" s="1">
        <v>125.32599999999999</v>
      </c>
      <c r="AI128" s="1">
        <v>-1.831</v>
      </c>
      <c r="AL128" s="1">
        <v>125.259</v>
      </c>
      <c r="AM128" s="1">
        <v>7.7335000000000003</v>
      </c>
      <c r="AO128" s="1">
        <v>125.235</v>
      </c>
      <c r="AP128" s="1">
        <v>-3.823</v>
      </c>
      <c r="AR128" s="1">
        <v>125.229</v>
      </c>
      <c r="AS128" s="1">
        <v>-0.52400000000000002</v>
      </c>
    </row>
    <row r="129" spans="1:45" x14ac:dyDescent="0.2">
      <c r="A129" s="1">
        <v>126.46599999999999</v>
      </c>
      <c r="B129" s="1">
        <v>13.664999999999999</v>
      </c>
      <c r="D129" s="1">
        <v>126.316</v>
      </c>
      <c r="E129" s="1">
        <v>9.6694999999999993</v>
      </c>
      <c r="G129" s="1">
        <v>126.36499999999999</v>
      </c>
      <c r="H129" s="1">
        <v>8.3435000000000006</v>
      </c>
      <c r="J129" s="1">
        <v>126.241</v>
      </c>
      <c r="K129" s="1">
        <v>11.1135</v>
      </c>
      <c r="M129" s="1">
        <v>126.379</v>
      </c>
      <c r="N129" s="1">
        <v>2.9860000000000002</v>
      </c>
      <c r="P129" s="1">
        <v>126.279</v>
      </c>
      <c r="Q129" s="1">
        <v>1.6485000000000001</v>
      </c>
      <c r="S129" s="1">
        <v>126.244</v>
      </c>
      <c r="T129" s="1">
        <v>1.857</v>
      </c>
      <c r="V129" s="1">
        <v>126.292</v>
      </c>
      <c r="W129" s="1">
        <v>1.6465000000000001</v>
      </c>
      <c r="Y129" s="1">
        <v>126.25</v>
      </c>
      <c r="Z129" s="1">
        <v>2.7934999999999999</v>
      </c>
      <c r="AB129" s="1">
        <v>126.274</v>
      </c>
      <c r="AC129" s="1">
        <v>0.41299999999999998</v>
      </c>
      <c r="AE129" s="1">
        <v>126.316</v>
      </c>
      <c r="AF129" s="1">
        <v>0.74950000000000006</v>
      </c>
      <c r="AH129" s="1">
        <v>126.333</v>
      </c>
      <c r="AI129" s="1">
        <v>-1.8955</v>
      </c>
      <c r="AL129" s="1">
        <v>126.265</v>
      </c>
      <c r="AM129" s="1">
        <v>7.6444999999999999</v>
      </c>
      <c r="AO129" s="1">
        <v>126.24</v>
      </c>
      <c r="AP129" s="1">
        <v>-3.798</v>
      </c>
      <c r="AR129" s="1">
        <v>126.236</v>
      </c>
      <c r="AS129" s="1">
        <v>-0.59499999999999997</v>
      </c>
    </row>
    <row r="130" spans="1:45" x14ac:dyDescent="0.2">
      <c r="A130" s="1">
        <v>127.471</v>
      </c>
      <c r="B130" s="1">
        <v>13.5975</v>
      </c>
      <c r="D130" s="1">
        <v>127.32299999999999</v>
      </c>
      <c r="E130" s="1">
        <v>9.593</v>
      </c>
      <c r="G130" s="1">
        <v>127.372</v>
      </c>
      <c r="H130" s="1">
        <v>8.2594999999999992</v>
      </c>
      <c r="J130" s="1">
        <v>127.247</v>
      </c>
      <c r="K130" s="1">
        <v>11.019</v>
      </c>
      <c r="M130" s="1">
        <v>127.384</v>
      </c>
      <c r="N130" s="1">
        <v>2.9155000000000002</v>
      </c>
      <c r="P130" s="1">
        <v>127.28700000000001</v>
      </c>
      <c r="Q130" s="1">
        <v>1.579</v>
      </c>
      <c r="S130" s="1">
        <v>127.246</v>
      </c>
      <c r="T130" s="1">
        <v>1.8</v>
      </c>
      <c r="V130" s="1">
        <v>127.297</v>
      </c>
      <c r="W130" s="1">
        <v>1.5914999999999999</v>
      </c>
      <c r="Y130" s="1">
        <v>127.255</v>
      </c>
      <c r="Z130" s="1">
        <v>2.722</v>
      </c>
      <c r="AB130" s="1">
        <v>127.279</v>
      </c>
      <c r="AC130" s="1">
        <v>0.31850000000000001</v>
      </c>
      <c r="AE130" s="1">
        <v>127.325</v>
      </c>
      <c r="AF130" s="1">
        <v>0.65549999999999997</v>
      </c>
      <c r="AH130" s="1">
        <v>127.34</v>
      </c>
      <c r="AI130" s="1">
        <v>-1.9644999999999999</v>
      </c>
      <c r="AL130" s="1">
        <v>127.26900000000001</v>
      </c>
      <c r="AM130" s="1">
        <v>7.56</v>
      </c>
      <c r="AO130" s="1">
        <v>127.246</v>
      </c>
      <c r="AP130" s="1">
        <v>-3.78</v>
      </c>
      <c r="AR130" s="1">
        <v>127.24299999999999</v>
      </c>
      <c r="AS130" s="1">
        <v>-0.67800000000000005</v>
      </c>
    </row>
    <row r="131" spans="1:45" x14ac:dyDescent="0.2">
      <c r="A131" s="1">
        <v>128.476</v>
      </c>
      <c r="B131" s="1">
        <v>13.535500000000001</v>
      </c>
      <c r="D131" s="1">
        <v>128.33099999999999</v>
      </c>
      <c r="E131" s="1">
        <v>9.5060000000000002</v>
      </c>
      <c r="G131" s="1">
        <v>128.37899999999999</v>
      </c>
      <c r="H131" s="1">
        <v>8.1809999999999992</v>
      </c>
      <c r="J131" s="1">
        <v>128.251</v>
      </c>
      <c r="K131" s="1">
        <v>10.93</v>
      </c>
      <c r="M131" s="1">
        <v>128.38800000000001</v>
      </c>
      <c r="N131" s="1">
        <v>2.8420000000000001</v>
      </c>
      <c r="P131" s="1">
        <v>128.291</v>
      </c>
      <c r="Q131" s="1">
        <v>1.5255000000000001</v>
      </c>
      <c r="S131" s="1">
        <v>128.25299999999999</v>
      </c>
      <c r="T131" s="1">
        <v>1.7304999999999999</v>
      </c>
      <c r="V131" s="1">
        <v>128.304</v>
      </c>
      <c r="W131" s="1">
        <v>1.5425</v>
      </c>
      <c r="Y131" s="1">
        <v>128.262</v>
      </c>
      <c r="Z131" s="1">
        <v>2.6495000000000002</v>
      </c>
      <c r="AB131" s="1">
        <v>128.285</v>
      </c>
      <c r="AC131" s="1">
        <v>0.215</v>
      </c>
      <c r="AE131" s="1">
        <v>128.33199999999999</v>
      </c>
      <c r="AF131" s="1">
        <v>0.56950000000000001</v>
      </c>
      <c r="AH131" s="1">
        <v>128.346</v>
      </c>
      <c r="AI131" s="1">
        <v>-2.016</v>
      </c>
      <c r="AL131" s="1">
        <v>128.27500000000001</v>
      </c>
      <c r="AM131" s="1">
        <v>7.4744999999999999</v>
      </c>
      <c r="AO131" s="1">
        <v>128.25200000000001</v>
      </c>
      <c r="AP131" s="1">
        <v>-3.7625000000000002</v>
      </c>
      <c r="AR131" s="1">
        <v>128.24799999999999</v>
      </c>
      <c r="AS131" s="1">
        <v>-0.75</v>
      </c>
    </row>
    <row r="132" spans="1:45" x14ac:dyDescent="0.2">
      <c r="A132" s="1">
        <v>129.47999999999999</v>
      </c>
      <c r="B132" s="1">
        <v>13.481999999999999</v>
      </c>
      <c r="D132" s="1">
        <v>129.33500000000001</v>
      </c>
      <c r="E132" s="1">
        <v>9.42</v>
      </c>
      <c r="G132" s="1">
        <v>129.38399999999999</v>
      </c>
      <c r="H132" s="1">
        <v>8.0990000000000002</v>
      </c>
      <c r="J132" s="1">
        <v>129.25800000000001</v>
      </c>
      <c r="K132" s="1">
        <v>10.839499999999999</v>
      </c>
      <c r="M132" s="1">
        <v>129.39400000000001</v>
      </c>
      <c r="N132" s="1">
        <v>2.7675000000000001</v>
      </c>
      <c r="P132" s="1">
        <v>129.29499999999999</v>
      </c>
      <c r="Q132" s="1">
        <v>1.466</v>
      </c>
      <c r="S132" s="1">
        <v>129.261</v>
      </c>
      <c r="T132" s="1">
        <v>1.6615</v>
      </c>
      <c r="V132" s="1">
        <v>129.309</v>
      </c>
      <c r="W132" s="1">
        <v>1.492</v>
      </c>
      <c r="Y132" s="1">
        <v>129.268</v>
      </c>
      <c r="Z132" s="1">
        <v>2.5739999999999998</v>
      </c>
      <c r="AB132" s="1">
        <v>129.29</v>
      </c>
      <c r="AC132" s="1">
        <v>0.1085</v>
      </c>
      <c r="AE132" s="1">
        <v>129.339</v>
      </c>
      <c r="AF132" s="1">
        <v>0.47699999999999998</v>
      </c>
      <c r="AH132" s="1">
        <v>129.34899999999999</v>
      </c>
      <c r="AI132" s="1">
        <v>-2.0720000000000001</v>
      </c>
      <c r="AL132" s="1">
        <v>129.28</v>
      </c>
      <c r="AM132" s="1">
        <v>7.3849999999999998</v>
      </c>
      <c r="AO132" s="1">
        <v>129.256</v>
      </c>
      <c r="AP132" s="1">
        <v>-3.7635000000000001</v>
      </c>
      <c r="AR132" s="1">
        <v>129.25700000000001</v>
      </c>
      <c r="AS132" s="1">
        <v>-0.83150000000000002</v>
      </c>
    </row>
    <row r="133" spans="1:45" x14ac:dyDescent="0.2">
      <c r="A133" s="1">
        <v>130.48599999999999</v>
      </c>
      <c r="B133" s="1">
        <v>13.4095</v>
      </c>
      <c r="D133" s="1">
        <v>130.34299999999999</v>
      </c>
      <c r="E133" s="1">
        <v>9.3335000000000008</v>
      </c>
      <c r="G133" s="1">
        <v>130.38999999999999</v>
      </c>
      <c r="H133" s="1">
        <v>8.0250000000000004</v>
      </c>
      <c r="J133" s="1">
        <v>130.26400000000001</v>
      </c>
      <c r="K133" s="1">
        <v>10.75</v>
      </c>
      <c r="M133" s="1">
        <v>130.399</v>
      </c>
      <c r="N133" s="1">
        <v>2.7</v>
      </c>
      <c r="P133" s="1">
        <v>130.30099999999999</v>
      </c>
      <c r="Q133" s="1">
        <v>1.4119999999999999</v>
      </c>
      <c r="S133" s="1">
        <v>130.267</v>
      </c>
      <c r="T133" s="1">
        <v>1.5965</v>
      </c>
      <c r="V133" s="1">
        <v>130.316</v>
      </c>
      <c r="W133" s="1">
        <v>1.44</v>
      </c>
      <c r="Y133" s="1">
        <v>130.273</v>
      </c>
      <c r="Z133" s="1">
        <v>2.4984999999999999</v>
      </c>
      <c r="AB133" s="1">
        <v>130.298</v>
      </c>
      <c r="AC133" s="1">
        <v>1.7999999999999999E-2</v>
      </c>
      <c r="AE133" s="1">
        <v>130.34700000000001</v>
      </c>
      <c r="AF133" s="1">
        <v>0.38650000000000001</v>
      </c>
      <c r="AH133" s="1">
        <v>130.35400000000001</v>
      </c>
      <c r="AI133" s="1">
        <v>-2.1335000000000002</v>
      </c>
      <c r="AL133" s="1">
        <v>130.285</v>
      </c>
      <c r="AM133" s="1">
        <v>7.2945000000000002</v>
      </c>
      <c r="AO133" s="1">
        <v>130.262</v>
      </c>
      <c r="AP133" s="1">
        <v>-3.7524999999999999</v>
      </c>
      <c r="AR133" s="1">
        <v>130.26400000000001</v>
      </c>
      <c r="AS133" s="1">
        <v>-0.91249999999999998</v>
      </c>
    </row>
    <row r="134" spans="1:45" x14ac:dyDescent="0.2">
      <c r="A134" s="1">
        <v>131.494</v>
      </c>
      <c r="B134" s="1">
        <v>13.3485</v>
      </c>
      <c r="D134" s="1">
        <v>131.35300000000001</v>
      </c>
      <c r="E134" s="1">
        <v>9.2554999999999996</v>
      </c>
      <c r="G134" s="1">
        <v>131.393</v>
      </c>
      <c r="H134" s="1">
        <v>7.9470000000000001</v>
      </c>
      <c r="J134" s="1">
        <v>131.27000000000001</v>
      </c>
      <c r="K134" s="1">
        <v>10.661</v>
      </c>
      <c r="M134" s="1">
        <v>131.405</v>
      </c>
      <c r="N134" s="1">
        <v>2.6215000000000002</v>
      </c>
      <c r="P134" s="1">
        <v>131.309</v>
      </c>
      <c r="Q134" s="1">
        <v>1.347</v>
      </c>
      <c r="S134" s="1">
        <v>131.273</v>
      </c>
      <c r="T134" s="1">
        <v>1.5375000000000001</v>
      </c>
      <c r="V134" s="1">
        <v>131.32300000000001</v>
      </c>
      <c r="W134" s="1">
        <v>1.3819999999999999</v>
      </c>
      <c r="Y134" s="1">
        <v>131.27799999999999</v>
      </c>
      <c r="Z134" s="1">
        <v>2.4340000000000002</v>
      </c>
      <c r="AB134" s="1">
        <v>131.30600000000001</v>
      </c>
      <c r="AC134" s="1">
        <v>-7.0000000000000007E-2</v>
      </c>
      <c r="AE134" s="1">
        <v>131.35400000000001</v>
      </c>
      <c r="AF134" s="1">
        <v>0.29399999999999998</v>
      </c>
      <c r="AH134" s="1">
        <v>131.364</v>
      </c>
      <c r="AI134" s="1">
        <v>-2.1915</v>
      </c>
      <c r="AL134" s="1">
        <v>131.29</v>
      </c>
      <c r="AM134" s="1">
        <v>7.218</v>
      </c>
      <c r="AO134" s="1">
        <v>131.26900000000001</v>
      </c>
      <c r="AP134" s="1">
        <v>-3.7559999999999998</v>
      </c>
      <c r="AR134" s="1">
        <v>131.273</v>
      </c>
      <c r="AS134" s="1">
        <v>-0.995</v>
      </c>
    </row>
    <row r="135" spans="1:45" x14ac:dyDescent="0.2">
      <c r="A135" s="1">
        <v>132.5</v>
      </c>
      <c r="B135" s="1">
        <v>13.273</v>
      </c>
      <c r="D135" s="1">
        <v>132.358</v>
      </c>
      <c r="E135" s="1">
        <v>9.1645000000000003</v>
      </c>
      <c r="G135" s="1">
        <v>132.399</v>
      </c>
      <c r="H135" s="1">
        <v>7.867</v>
      </c>
      <c r="J135" s="1">
        <v>132.27699999999999</v>
      </c>
      <c r="K135" s="1">
        <v>10.567500000000001</v>
      </c>
      <c r="M135" s="1">
        <v>132.40899999999999</v>
      </c>
      <c r="N135" s="1">
        <v>2.5539999999999998</v>
      </c>
      <c r="P135" s="1">
        <v>132.315</v>
      </c>
      <c r="Q135" s="1">
        <v>1.282</v>
      </c>
      <c r="S135" s="1">
        <v>132.27799999999999</v>
      </c>
      <c r="T135" s="1">
        <v>1.4770000000000001</v>
      </c>
      <c r="V135" s="1">
        <v>132.32599999999999</v>
      </c>
      <c r="W135" s="1">
        <v>1.3280000000000001</v>
      </c>
      <c r="Y135" s="1">
        <v>132.28299999999999</v>
      </c>
      <c r="Z135" s="1">
        <v>2.36</v>
      </c>
      <c r="AB135" s="1">
        <v>132.31299999999999</v>
      </c>
      <c r="AC135" s="1">
        <v>-0.16500000000000001</v>
      </c>
      <c r="AE135" s="1">
        <v>132.35900000000001</v>
      </c>
      <c r="AF135" s="1">
        <v>0.20449999999999999</v>
      </c>
      <c r="AH135" s="1">
        <v>132.37100000000001</v>
      </c>
      <c r="AI135" s="1">
        <v>-2.2465000000000002</v>
      </c>
      <c r="AL135" s="1">
        <v>132.29599999999999</v>
      </c>
      <c r="AM135" s="1">
        <v>7.1204999999999998</v>
      </c>
      <c r="AO135" s="1">
        <v>132.27699999999999</v>
      </c>
      <c r="AP135" s="1">
        <v>-3.7480000000000002</v>
      </c>
      <c r="AR135" s="1">
        <v>132.27699999999999</v>
      </c>
      <c r="AS135" s="1">
        <v>-1.0745</v>
      </c>
    </row>
    <row r="136" spans="1:45" x14ac:dyDescent="0.2">
      <c r="A136" s="1">
        <v>133.506</v>
      </c>
      <c r="B136" s="1">
        <v>13.221</v>
      </c>
      <c r="D136" s="1">
        <v>133.36600000000001</v>
      </c>
      <c r="E136" s="1">
        <v>9.0824999999999996</v>
      </c>
      <c r="G136" s="1">
        <v>133.40299999999999</v>
      </c>
      <c r="H136" s="1">
        <v>7.7880000000000003</v>
      </c>
      <c r="J136" s="1">
        <v>133.28399999999999</v>
      </c>
      <c r="K136" s="1">
        <v>10.48</v>
      </c>
      <c r="M136" s="1">
        <v>133.41300000000001</v>
      </c>
      <c r="N136" s="1">
        <v>2.4820000000000002</v>
      </c>
      <c r="P136" s="1">
        <v>133.32</v>
      </c>
      <c r="Q136" s="1">
        <v>1.2275</v>
      </c>
      <c r="S136" s="1">
        <v>133.28399999999999</v>
      </c>
      <c r="T136" s="1">
        <v>1.411</v>
      </c>
      <c r="V136" s="1">
        <v>133.33199999999999</v>
      </c>
      <c r="W136" s="1">
        <v>1.2785</v>
      </c>
      <c r="Y136" s="1">
        <v>133.29300000000001</v>
      </c>
      <c r="Z136" s="1">
        <v>2.2934999999999999</v>
      </c>
      <c r="AB136" s="1">
        <v>133.31899999999999</v>
      </c>
      <c r="AC136" s="1">
        <v>-0.25600000000000001</v>
      </c>
      <c r="AE136" s="1">
        <v>133.36199999999999</v>
      </c>
      <c r="AF136" s="1">
        <v>0.1115</v>
      </c>
      <c r="AH136" s="1">
        <v>133.376</v>
      </c>
      <c r="AI136" s="1">
        <v>-2.3050000000000002</v>
      </c>
      <c r="AL136" s="1">
        <v>133.304</v>
      </c>
      <c r="AM136" s="1">
        <v>7.0369999999999999</v>
      </c>
      <c r="AO136" s="1">
        <v>133.28100000000001</v>
      </c>
      <c r="AP136" s="1">
        <v>-3.7490000000000001</v>
      </c>
      <c r="AR136" s="1">
        <v>133.28100000000001</v>
      </c>
      <c r="AS136" s="1">
        <v>-1.1579999999999999</v>
      </c>
    </row>
    <row r="137" spans="1:45" x14ac:dyDescent="0.2">
      <c r="A137" s="1">
        <v>134.51</v>
      </c>
      <c r="B137" s="1">
        <v>13.15</v>
      </c>
      <c r="D137" s="1">
        <v>134.37299999999999</v>
      </c>
      <c r="E137" s="1">
        <v>9.0020000000000007</v>
      </c>
      <c r="G137" s="1">
        <v>134.40899999999999</v>
      </c>
      <c r="H137" s="1">
        <v>7.7095000000000002</v>
      </c>
      <c r="J137" s="1">
        <v>134.291</v>
      </c>
      <c r="K137" s="1">
        <v>10.391</v>
      </c>
      <c r="M137" s="1">
        <v>134.41800000000001</v>
      </c>
      <c r="N137" s="1">
        <v>2.4184999999999999</v>
      </c>
      <c r="P137" s="1">
        <v>134.32499999999999</v>
      </c>
      <c r="Q137" s="1">
        <v>1.1615</v>
      </c>
      <c r="S137" s="1">
        <v>134.29300000000001</v>
      </c>
      <c r="T137" s="1">
        <v>1.3360000000000001</v>
      </c>
      <c r="V137" s="1">
        <v>134.33699999999999</v>
      </c>
      <c r="W137" s="1">
        <v>1.224</v>
      </c>
      <c r="Y137" s="1">
        <v>134.30099999999999</v>
      </c>
      <c r="Z137" s="1">
        <v>2.2145000000000001</v>
      </c>
      <c r="AB137" s="1">
        <v>134.32400000000001</v>
      </c>
      <c r="AC137" s="1">
        <v>-0.35849999999999999</v>
      </c>
      <c r="AE137" s="1">
        <v>134.37299999999999</v>
      </c>
      <c r="AF137" s="1">
        <v>2.1999999999999999E-2</v>
      </c>
      <c r="AH137" s="1">
        <v>134.386</v>
      </c>
      <c r="AI137" s="1">
        <v>-2.3540000000000001</v>
      </c>
      <c r="AL137" s="1">
        <v>134.309</v>
      </c>
      <c r="AM137" s="1">
        <v>6.9465000000000003</v>
      </c>
      <c r="AO137" s="1">
        <v>134.286</v>
      </c>
      <c r="AP137" s="1">
        <v>-3.7414999999999998</v>
      </c>
      <c r="AR137" s="1">
        <v>134.28700000000001</v>
      </c>
      <c r="AS137" s="1">
        <v>-1.2324999999999999</v>
      </c>
    </row>
    <row r="138" spans="1:45" x14ac:dyDescent="0.2">
      <c r="A138" s="1">
        <v>135.51599999999999</v>
      </c>
      <c r="B138" s="1">
        <v>13.086</v>
      </c>
      <c r="D138" s="1">
        <v>135.37899999999999</v>
      </c>
      <c r="E138" s="1">
        <v>8.9175000000000004</v>
      </c>
      <c r="G138" s="1">
        <v>135.41499999999999</v>
      </c>
      <c r="H138" s="1">
        <v>7.6295000000000002</v>
      </c>
      <c r="J138" s="1">
        <v>135.29599999999999</v>
      </c>
      <c r="K138" s="1">
        <v>10.294</v>
      </c>
      <c r="M138" s="1">
        <v>135.42400000000001</v>
      </c>
      <c r="N138" s="1">
        <v>2.3420000000000001</v>
      </c>
      <c r="P138" s="1">
        <v>135.33000000000001</v>
      </c>
      <c r="Q138" s="1">
        <v>1.1054999999999999</v>
      </c>
      <c r="S138" s="1">
        <v>135.297</v>
      </c>
      <c r="T138" s="1">
        <v>1.2809999999999999</v>
      </c>
      <c r="V138" s="1">
        <v>135.34299999999999</v>
      </c>
      <c r="W138" s="1">
        <v>1.1705000000000001</v>
      </c>
      <c r="Y138" s="1">
        <v>135.30699999999999</v>
      </c>
      <c r="Z138" s="1">
        <v>2.1435</v>
      </c>
      <c r="AB138" s="1">
        <v>135.33000000000001</v>
      </c>
      <c r="AC138" s="1">
        <v>-0.45300000000000001</v>
      </c>
      <c r="AE138" s="1">
        <v>135.381</v>
      </c>
      <c r="AF138" s="1">
        <v>-6.3500000000000001E-2</v>
      </c>
      <c r="AH138" s="1">
        <v>135.392</v>
      </c>
      <c r="AI138" s="1">
        <v>-2.3855</v>
      </c>
      <c r="AL138" s="1">
        <v>135.315</v>
      </c>
      <c r="AM138" s="1">
        <v>6.8695000000000004</v>
      </c>
      <c r="AO138" s="1">
        <v>135.291</v>
      </c>
      <c r="AP138" s="1">
        <v>-3.7509999999999999</v>
      </c>
      <c r="AR138" s="1">
        <v>135.29300000000001</v>
      </c>
      <c r="AS138" s="1">
        <v>-1.3109999999999999</v>
      </c>
    </row>
    <row r="139" spans="1:45" x14ac:dyDescent="0.2">
      <c r="A139" s="1">
        <v>136.52099999999999</v>
      </c>
      <c r="B139" s="1">
        <v>13.022500000000001</v>
      </c>
      <c r="D139" s="1">
        <v>136.38900000000001</v>
      </c>
      <c r="E139" s="1">
        <v>8.8405000000000005</v>
      </c>
      <c r="G139" s="1">
        <v>136.41800000000001</v>
      </c>
      <c r="H139" s="1">
        <v>7.55</v>
      </c>
      <c r="J139" s="1">
        <v>136.30199999999999</v>
      </c>
      <c r="K139" s="1">
        <v>10.2065</v>
      </c>
      <c r="M139" s="1">
        <v>136.43</v>
      </c>
      <c r="N139" s="1">
        <v>2.2709999999999999</v>
      </c>
      <c r="P139" s="1">
        <v>136.33500000000001</v>
      </c>
      <c r="Q139" s="1">
        <v>1.0485</v>
      </c>
      <c r="S139" s="1">
        <v>136.30099999999999</v>
      </c>
      <c r="T139" s="1">
        <v>1.2250000000000001</v>
      </c>
      <c r="V139" s="1">
        <v>136.34800000000001</v>
      </c>
      <c r="W139" s="1">
        <v>1.113</v>
      </c>
      <c r="Y139" s="1">
        <v>136.31</v>
      </c>
      <c r="Z139" s="1">
        <v>2.0754999999999999</v>
      </c>
      <c r="AB139" s="1">
        <v>136.333</v>
      </c>
      <c r="AC139" s="1">
        <v>-0.54649999999999999</v>
      </c>
      <c r="AE139" s="1">
        <v>136.387</v>
      </c>
      <c r="AF139" s="1">
        <v>-0.14899999999999999</v>
      </c>
      <c r="AH139" s="1">
        <v>136.39599999999999</v>
      </c>
      <c r="AI139" s="1">
        <v>-2.4365000000000001</v>
      </c>
      <c r="AL139" s="1">
        <v>136.32300000000001</v>
      </c>
      <c r="AM139" s="1">
        <v>6.7785000000000002</v>
      </c>
      <c r="AO139" s="1">
        <v>136.298</v>
      </c>
      <c r="AP139" s="1">
        <v>-3.7559999999999998</v>
      </c>
      <c r="AR139" s="1">
        <v>136.30099999999999</v>
      </c>
      <c r="AS139" s="1">
        <v>-1.3859999999999999</v>
      </c>
    </row>
    <row r="140" spans="1:45" x14ac:dyDescent="0.2">
      <c r="A140" s="1">
        <v>137.52600000000001</v>
      </c>
      <c r="B140" s="1">
        <v>12.951499999999999</v>
      </c>
      <c r="D140" s="1">
        <v>137.404</v>
      </c>
      <c r="E140" s="1">
        <v>8.7620000000000005</v>
      </c>
      <c r="G140" s="1">
        <v>137.42699999999999</v>
      </c>
      <c r="H140" s="1">
        <v>7.4820000000000002</v>
      </c>
      <c r="J140" s="1">
        <v>137.30699999999999</v>
      </c>
      <c r="K140" s="1">
        <v>10.1135</v>
      </c>
      <c r="M140" s="1">
        <v>137.43899999999999</v>
      </c>
      <c r="N140" s="1">
        <v>2.1949999999999998</v>
      </c>
      <c r="P140" s="1">
        <v>137.34299999999999</v>
      </c>
      <c r="Q140" s="1">
        <v>0.99299999999999999</v>
      </c>
      <c r="S140" s="1">
        <v>137.304</v>
      </c>
      <c r="T140" s="1">
        <v>1.1535</v>
      </c>
      <c r="V140" s="1">
        <v>137.35400000000001</v>
      </c>
      <c r="W140" s="1">
        <v>1.0645</v>
      </c>
      <c r="Y140" s="1">
        <v>137.315</v>
      </c>
      <c r="Z140" s="1">
        <v>2.0055000000000001</v>
      </c>
      <c r="AB140" s="1">
        <v>137.339</v>
      </c>
      <c r="AC140" s="1">
        <v>-0.64649999999999996</v>
      </c>
      <c r="AE140" s="1">
        <v>137.393</v>
      </c>
      <c r="AF140" s="1">
        <v>-0.2445</v>
      </c>
      <c r="AH140" s="1">
        <v>137.40100000000001</v>
      </c>
      <c r="AI140" s="1">
        <v>-2.4750000000000001</v>
      </c>
      <c r="AL140" s="1">
        <v>137.33199999999999</v>
      </c>
      <c r="AM140" s="1">
        <v>6.6879999999999997</v>
      </c>
      <c r="AO140" s="1">
        <v>137.30500000000001</v>
      </c>
      <c r="AP140" s="1">
        <v>-3.7475000000000001</v>
      </c>
      <c r="AR140" s="1">
        <v>137.30500000000001</v>
      </c>
      <c r="AS140" s="1">
        <v>-1.4735</v>
      </c>
    </row>
    <row r="141" spans="1:45" x14ac:dyDescent="0.2">
      <c r="A141" s="1">
        <v>138.53</v>
      </c>
      <c r="B141" s="1">
        <v>12.872999999999999</v>
      </c>
      <c r="D141" s="1">
        <v>138.40899999999999</v>
      </c>
      <c r="E141" s="1">
        <v>8.6869999999999994</v>
      </c>
      <c r="G141" s="1">
        <v>138.43700000000001</v>
      </c>
      <c r="H141" s="1">
        <v>7.4</v>
      </c>
      <c r="J141" s="1">
        <v>138.31299999999999</v>
      </c>
      <c r="K141" s="1">
        <v>10.022</v>
      </c>
      <c r="M141" s="1">
        <v>138.447</v>
      </c>
      <c r="N141" s="1">
        <v>2.1335000000000002</v>
      </c>
      <c r="P141" s="1">
        <v>138.35</v>
      </c>
      <c r="Q141" s="1">
        <v>0.94750000000000001</v>
      </c>
      <c r="S141" s="1">
        <v>138.30799999999999</v>
      </c>
      <c r="T141" s="1">
        <v>1.0820000000000001</v>
      </c>
      <c r="V141" s="1">
        <v>138.35900000000001</v>
      </c>
      <c r="W141" s="1">
        <v>1.0044999999999999</v>
      </c>
      <c r="Y141" s="1">
        <v>138.32</v>
      </c>
      <c r="Z141" s="1">
        <v>1.9259999999999999</v>
      </c>
      <c r="AB141" s="1">
        <v>138.34399999999999</v>
      </c>
      <c r="AC141" s="1">
        <v>-0.73899999999999999</v>
      </c>
      <c r="AE141" s="1">
        <v>138.40100000000001</v>
      </c>
      <c r="AF141" s="1">
        <v>-0.33050000000000002</v>
      </c>
      <c r="AH141" s="1">
        <v>138.405</v>
      </c>
      <c r="AI141" s="1">
        <v>-2.5049999999999999</v>
      </c>
      <c r="AL141" s="1">
        <v>138.34200000000001</v>
      </c>
      <c r="AM141" s="1">
        <v>6.6025</v>
      </c>
      <c r="AO141" s="1">
        <v>138.31399999999999</v>
      </c>
      <c r="AP141" s="1">
        <v>-3.7509999999999999</v>
      </c>
      <c r="AR141" s="1">
        <v>138.31</v>
      </c>
      <c r="AS141" s="1">
        <v>-1.5505</v>
      </c>
    </row>
    <row r="142" spans="1:45" x14ac:dyDescent="0.2">
      <c r="A142" s="1">
        <v>139.53700000000001</v>
      </c>
      <c r="B142" s="1">
        <v>12.810499999999999</v>
      </c>
      <c r="D142" s="1">
        <v>139.41999999999999</v>
      </c>
      <c r="E142" s="1">
        <v>8.5969999999999995</v>
      </c>
      <c r="G142" s="1">
        <v>139.44399999999999</v>
      </c>
      <c r="H142" s="1">
        <v>7.319</v>
      </c>
      <c r="J142" s="1">
        <v>139.322</v>
      </c>
      <c r="K142" s="1">
        <v>9.9269999999999996</v>
      </c>
      <c r="M142" s="1">
        <v>139.45400000000001</v>
      </c>
      <c r="N142" s="1">
        <v>2.06</v>
      </c>
      <c r="P142" s="1">
        <v>139.357</v>
      </c>
      <c r="Q142" s="1">
        <v>0.88449999999999995</v>
      </c>
      <c r="S142" s="1">
        <v>139.31200000000001</v>
      </c>
      <c r="T142" s="1">
        <v>1.014</v>
      </c>
      <c r="V142" s="1">
        <v>139.364</v>
      </c>
      <c r="W142" s="1">
        <v>0.95299999999999996</v>
      </c>
      <c r="Y142" s="1">
        <v>139.32599999999999</v>
      </c>
      <c r="Z142" s="1">
        <v>1.8545</v>
      </c>
      <c r="AB142" s="1">
        <v>139.34800000000001</v>
      </c>
      <c r="AC142" s="1">
        <v>-0.83799999999999997</v>
      </c>
      <c r="AE142" s="1">
        <v>139.40600000000001</v>
      </c>
      <c r="AF142" s="1">
        <v>-0.41949999999999998</v>
      </c>
      <c r="AH142" s="1">
        <v>139.41200000000001</v>
      </c>
      <c r="AI142" s="1">
        <v>-2.524</v>
      </c>
      <c r="AL142" s="1">
        <v>139.35</v>
      </c>
      <c r="AM142" s="1">
        <v>6.5279999999999996</v>
      </c>
      <c r="AO142" s="1">
        <v>139.36699999999999</v>
      </c>
      <c r="AP142" s="1">
        <v>-3.7574999999999998</v>
      </c>
      <c r="AR142" s="1">
        <v>139.31899999999999</v>
      </c>
      <c r="AS142" s="1">
        <v>-1.6259999999999999</v>
      </c>
    </row>
    <row r="143" spans="1:45" x14ac:dyDescent="0.2">
      <c r="A143" s="1">
        <v>140.54599999999999</v>
      </c>
      <c r="B143" s="1">
        <v>12.7455</v>
      </c>
      <c r="D143" s="1">
        <v>140.428</v>
      </c>
      <c r="E143" s="1">
        <v>8.5184999999999995</v>
      </c>
      <c r="G143" s="1">
        <v>140.44999999999999</v>
      </c>
      <c r="H143" s="1">
        <v>7.2439999999999998</v>
      </c>
      <c r="J143" s="1">
        <v>140.33000000000001</v>
      </c>
      <c r="K143" s="1">
        <v>9.8309999999999995</v>
      </c>
      <c r="M143" s="1">
        <v>140.459</v>
      </c>
      <c r="N143" s="1">
        <v>1.992</v>
      </c>
      <c r="P143" s="1">
        <v>140.36099999999999</v>
      </c>
      <c r="Q143" s="1">
        <v>0.82650000000000001</v>
      </c>
      <c r="S143" s="1">
        <v>140.315</v>
      </c>
      <c r="T143" s="1">
        <v>0.96150000000000002</v>
      </c>
      <c r="V143" s="1">
        <v>140.37100000000001</v>
      </c>
      <c r="W143" s="1">
        <v>0.89349999999999996</v>
      </c>
      <c r="Y143" s="1">
        <v>140.334</v>
      </c>
      <c r="Z143" s="1">
        <v>1.7789999999999999</v>
      </c>
      <c r="AB143" s="1">
        <v>140.35300000000001</v>
      </c>
      <c r="AC143" s="1">
        <v>-0.92500000000000004</v>
      </c>
      <c r="AE143" s="1">
        <v>140.41200000000001</v>
      </c>
      <c r="AF143" s="1">
        <v>-0.51</v>
      </c>
      <c r="AH143" s="1">
        <v>140.41999999999999</v>
      </c>
      <c r="AI143" s="1">
        <v>-2.5449999999999999</v>
      </c>
      <c r="AL143" s="1">
        <v>140.35499999999999</v>
      </c>
      <c r="AM143" s="1">
        <v>6.4370000000000003</v>
      </c>
      <c r="AO143" s="1">
        <v>140.37100000000001</v>
      </c>
      <c r="AP143" s="1">
        <v>-3.7505000000000002</v>
      </c>
      <c r="AR143" s="1">
        <v>140.327</v>
      </c>
      <c r="AS143" s="1">
        <v>-1.7075</v>
      </c>
    </row>
    <row r="144" spans="1:45" x14ac:dyDescent="0.2">
      <c r="A144" s="1">
        <v>141.55000000000001</v>
      </c>
      <c r="B144" s="1">
        <v>12.673999999999999</v>
      </c>
      <c r="D144" s="1">
        <v>141.43600000000001</v>
      </c>
      <c r="E144" s="1">
        <v>8.4324999999999992</v>
      </c>
      <c r="G144" s="1">
        <v>141.45400000000001</v>
      </c>
      <c r="H144" s="1">
        <v>7.1719999999999997</v>
      </c>
      <c r="J144" s="1">
        <v>141.33799999999999</v>
      </c>
      <c r="K144" s="1">
        <v>9.7375000000000007</v>
      </c>
      <c r="M144" s="1">
        <v>141.46299999999999</v>
      </c>
      <c r="N144" s="1">
        <v>1.9055</v>
      </c>
      <c r="P144" s="1">
        <v>141.36600000000001</v>
      </c>
      <c r="Q144" s="1">
        <v>0.76700000000000002</v>
      </c>
      <c r="S144" s="1">
        <v>141.321</v>
      </c>
      <c r="T144" s="1">
        <v>0.89</v>
      </c>
      <c r="V144" s="1">
        <v>141.375</v>
      </c>
      <c r="W144" s="1">
        <v>0.82799999999999996</v>
      </c>
      <c r="Y144" s="1">
        <v>141.34200000000001</v>
      </c>
      <c r="Z144" s="1">
        <v>1.7124999999999999</v>
      </c>
      <c r="AB144" s="1">
        <v>141.358</v>
      </c>
      <c r="AC144" s="1">
        <v>-1.0309999999999999</v>
      </c>
      <c r="AE144" s="1">
        <v>141.41800000000001</v>
      </c>
      <c r="AF144" s="1">
        <v>-0.60450000000000004</v>
      </c>
      <c r="AH144" s="1">
        <v>141.42599999999999</v>
      </c>
      <c r="AI144" s="1">
        <v>-2.556</v>
      </c>
      <c r="AL144" s="1">
        <v>141.36000000000001</v>
      </c>
      <c r="AM144" s="1">
        <v>6.3460000000000001</v>
      </c>
      <c r="AO144" s="1">
        <v>141.376</v>
      </c>
      <c r="AP144" s="1">
        <v>-3.7559999999999998</v>
      </c>
      <c r="AR144" s="1">
        <v>141.333</v>
      </c>
      <c r="AS144" s="1">
        <v>-1.7905</v>
      </c>
    </row>
    <row r="145" spans="1:45" x14ac:dyDescent="0.2">
      <c r="A145" s="1">
        <v>142.55699999999999</v>
      </c>
      <c r="B145" s="1">
        <v>12.612</v>
      </c>
      <c r="D145" s="1">
        <v>142.44300000000001</v>
      </c>
      <c r="E145" s="1">
        <v>8.3490000000000002</v>
      </c>
      <c r="G145" s="1">
        <v>142.45699999999999</v>
      </c>
      <c r="H145" s="1">
        <v>7.0890000000000004</v>
      </c>
      <c r="J145" s="1">
        <v>142.34800000000001</v>
      </c>
      <c r="K145" s="1">
        <v>9.6475000000000009</v>
      </c>
      <c r="M145" s="1">
        <v>142.46899999999999</v>
      </c>
      <c r="N145" s="1">
        <v>1.8405</v>
      </c>
      <c r="P145" s="1">
        <v>142.37100000000001</v>
      </c>
      <c r="Q145" s="1">
        <v>0.70950000000000002</v>
      </c>
      <c r="S145" s="1">
        <v>142.32499999999999</v>
      </c>
      <c r="T145" s="1">
        <v>0.8135</v>
      </c>
      <c r="V145" s="1">
        <v>142.37899999999999</v>
      </c>
      <c r="W145" s="1">
        <v>0.77549999999999997</v>
      </c>
      <c r="Y145" s="1">
        <v>142.351</v>
      </c>
      <c r="Z145" s="1">
        <v>1.6339999999999999</v>
      </c>
      <c r="AB145" s="1">
        <v>142.36500000000001</v>
      </c>
      <c r="AC145" s="1">
        <v>-1.1285000000000001</v>
      </c>
      <c r="AE145" s="1">
        <v>142.423</v>
      </c>
      <c r="AF145" s="1">
        <v>-0.69850000000000001</v>
      </c>
      <c r="AH145" s="1">
        <v>142.43100000000001</v>
      </c>
      <c r="AI145" s="1">
        <v>-2.5525000000000002</v>
      </c>
      <c r="AL145" s="1">
        <v>142.36500000000001</v>
      </c>
      <c r="AM145" s="1">
        <v>6.2779999999999996</v>
      </c>
      <c r="AO145" s="1">
        <v>142.38200000000001</v>
      </c>
      <c r="AP145" s="1">
        <v>-3.7589999999999999</v>
      </c>
      <c r="AR145" s="1">
        <v>142.33699999999999</v>
      </c>
      <c r="AS145" s="1">
        <v>-1.8694999999999999</v>
      </c>
    </row>
    <row r="146" spans="1:45" x14ac:dyDescent="0.2">
      <c r="A146" s="1">
        <v>143.56299999999999</v>
      </c>
      <c r="B146" s="1">
        <v>12.544</v>
      </c>
      <c r="D146" s="1">
        <v>143.447</v>
      </c>
      <c r="E146" s="1">
        <v>8.266</v>
      </c>
      <c r="G146" s="1">
        <v>143.46</v>
      </c>
      <c r="H146" s="1">
        <v>7.024</v>
      </c>
      <c r="J146" s="1">
        <v>143.35499999999999</v>
      </c>
      <c r="K146" s="1">
        <v>9.5515000000000008</v>
      </c>
      <c r="M146" s="1">
        <v>143.47900000000001</v>
      </c>
      <c r="N146" s="1">
        <v>1.7569999999999999</v>
      </c>
      <c r="P146" s="1">
        <v>143.37799999999999</v>
      </c>
      <c r="Q146" s="1">
        <v>0.65700000000000003</v>
      </c>
      <c r="S146" s="1">
        <v>143.333</v>
      </c>
      <c r="T146" s="1">
        <v>0.75249999999999995</v>
      </c>
      <c r="V146" s="1">
        <v>143.38200000000001</v>
      </c>
      <c r="W146" s="1">
        <v>0.72450000000000003</v>
      </c>
      <c r="Y146" s="1">
        <v>143.358</v>
      </c>
      <c r="Z146" s="1">
        <v>1.5575000000000001</v>
      </c>
      <c r="AB146" s="1">
        <v>143.37</v>
      </c>
      <c r="AC146" s="1">
        <v>-1.2164999999999999</v>
      </c>
      <c r="AE146" s="1">
        <v>143.42699999999999</v>
      </c>
      <c r="AF146" s="1">
        <v>-0.79</v>
      </c>
      <c r="AH146" s="1">
        <v>143.43700000000001</v>
      </c>
      <c r="AI146" s="1">
        <v>-2.544</v>
      </c>
      <c r="AL146" s="1">
        <v>143.37100000000001</v>
      </c>
      <c r="AM146" s="1">
        <v>6.1844999999999999</v>
      </c>
      <c r="AO146" s="1">
        <v>143.38800000000001</v>
      </c>
      <c r="AP146" s="1">
        <v>-3.7639999999999998</v>
      </c>
      <c r="AR146" s="1">
        <v>143.34200000000001</v>
      </c>
      <c r="AS146" s="1">
        <v>-1.948</v>
      </c>
    </row>
    <row r="147" spans="1:45" x14ac:dyDescent="0.2">
      <c r="A147" s="1">
        <v>144.57300000000001</v>
      </c>
      <c r="B147" s="1">
        <v>12.48</v>
      </c>
      <c r="D147" s="1">
        <v>144.453</v>
      </c>
      <c r="E147" s="1">
        <v>8.1905000000000001</v>
      </c>
      <c r="G147" s="1">
        <v>144.46299999999999</v>
      </c>
      <c r="H147" s="1">
        <v>6.9480000000000004</v>
      </c>
      <c r="J147" s="1">
        <v>144.36099999999999</v>
      </c>
      <c r="K147" s="1">
        <v>9.4604999999999997</v>
      </c>
      <c r="M147" s="1">
        <v>144.48400000000001</v>
      </c>
      <c r="N147" s="1">
        <v>1.6819999999999999</v>
      </c>
      <c r="P147" s="1">
        <v>144.38200000000001</v>
      </c>
      <c r="Q147" s="1">
        <v>0.59099999999999997</v>
      </c>
      <c r="S147" s="1">
        <v>144.34</v>
      </c>
      <c r="T147" s="1">
        <v>0.68</v>
      </c>
      <c r="V147" s="1">
        <v>144.39099999999999</v>
      </c>
      <c r="W147" s="1">
        <v>0.66</v>
      </c>
      <c r="Y147" s="1">
        <v>144.364</v>
      </c>
      <c r="Z147" s="1">
        <v>1.4850000000000001</v>
      </c>
      <c r="AB147" s="1">
        <v>144.375</v>
      </c>
      <c r="AC147" s="1">
        <v>-1.2989999999999999</v>
      </c>
      <c r="AE147" s="1">
        <v>144.43199999999999</v>
      </c>
      <c r="AF147" s="1">
        <v>-0.88200000000000001</v>
      </c>
      <c r="AH147" s="1">
        <v>144.441</v>
      </c>
      <c r="AI147" s="1">
        <v>-2.5310000000000001</v>
      </c>
      <c r="AL147" s="1">
        <v>144.37700000000001</v>
      </c>
      <c r="AM147" s="1">
        <v>6.1050000000000004</v>
      </c>
      <c r="AO147" s="1">
        <v>144.43199999999999</v>
      </c>
      <c r="AP147" s="1">
        <v>-3.7654999999999998</v>
      </c>
      <c r="AR147" s="1">
        <v>144.34800000000001</v>
      </c>
      <c r="AS147" s="1">
        <v>-2.0255000000000001</v>
      </c>
    </row>
    <row r="148" spans="1:45" x14ac:dyDescent="0.2">
      <c r="A148" s="1">
        <v>145.58199999999999</v>
      </c>
      <c r="B148" s="1">
        <v>12.413500000000001</v>
      </c>
      <c r="D148" s="1">
        <v>145.459</v>
      </c>
      <c r="E148" s="1">
        <v>8.1114999999999995</v>
      </c>
      <c r="G148" s="1">
        <v>145.46799999999999</v>
      </c>
      <c r="H148" s="1">
        <v>6.8754999999999997</v>
      </c>
      <c r="J148" s="1">
        <v>145.36699999999999</v>
      </c>
      <c r="K148" s="1">
        <v>9.3699999999999992</v>
      </c>
      <c r="M148" s="1">
        <v>145.49199999999999</v>
      </c>
      <c r="N148" s="1">
        <v>1.6060000000000001</v>
      </c>
      <c r="P148" s="1">
        <v>145.38800000000001</v>
      </c>
      <c r="Q148" s="1">
        <v>0.53349999999999997</v>
      </c>
      <c r="S148" s="1">
        <v>145.346</v>
      </c>
      <c r="T148" s="1">
        <v>0.61</v>
      </c>
      <c r="V148" s="1">
        <v>145.398</v>
      </c>
      <c r="W148" s="1">
        <v>0.6</v>
      </c>
      <c r="Y148" s="1">
        <v>145.36799999999999</v>
      </c>
      <c r="Z148" s="1">
        <v>1.411</v>
      </c>
      <c r="AB148" s="1">
        <v>145.38200000000001</v>
      </c>
      <c r="AC148" s="1">
        <v>-1.393</v>
      </c>
      <c r="AE148" s="1">
        <v>145.43799999999999</v>
      </c>
      <c r="AF148" s="1">
        <v>-0.96650000000000003</v>
      </c>
      <c r="AH148" s="1">
        <v>145.44499999999999</v>
      </c>
      <c r="AI148" s="1">
        <v>-2.5105</v>
      </c>
      <c r="AL148" s="1">
        <v>145.38499999999999</v>
      </c>
      <c r="AM148" s="1">
        <v>6.0250000000000004</v>
      </c>
      <c r="AO148" s="1">
        <v>145.43700000000001</v>
      </c>
      <c r="AP148" s="1">
        <v>-3.7665000000000002</v>
      </c>
      <c r="AR148" s="1">
        <v>145.351</v>
      </c>
      <c r="AS148" s="1">
        <v>-2.109</v>
      </c>
    </row>
    <row r="149" spans="1:45" x14ac:dyDescent="0.2">
      <c r="A149" s="1">
        <v>146.58699999999999</v>
      </c>
      <c r="B149" s="1">
        <v>12.3405</v>
      </c>
      <c r="D149" s="1">
        <v>146.46700000000001</v>
      </c>
      <c r="E149" s="1">
        <v>8.0274999999999999</v>
      </c>
      <c r="G149" s="1">
        <v>146.47200000000001</v>
      </c>
      <c r="H149" s="1">
        <v>6.7945000000000002</v>
      </c>
      <c r="J149" s="1">
        <v>146.37200000000001</v>
      </c>
      <c r="K149" s="1">
        <v>9.2844999999999995</v>
      </c>
      <c r="M149" s="1">
        <v>146.49600000000001</v>
      </c>
      <c r="N149" s="1">
        <v>1.532</v>
      </c>
      <c r="P149" s="1">
        <v>146.39500000000001</v>
      </c>
      <c r="Q149" s="1">
        <v>0.47649999999999998</v>
      </c>
      <c r="S149" s="1">
        <v>146.35</v>
      </c>
      <c r="T149" s="1">
        <v>0.5575</v>
      </c>
      <c r="V149" s="1">
        <v>146.405</v>
      </c>
      <c r="W149" s="1">
        <v>0.54100000000000004</v>
      </c>
      <c r="Y149" s="1">
        <v>146.374</v>
      </c>
      <c r="Z149" s="1">
        <v>1.3334999999999999</v>
      </c>
      <c r="AB149" s="1">
        <v>146.38900000000001</v>
      </c>
      <c r="AC149" s="1">
        <v>-1.4804999999999999</v>
      </c>
      <c r="AE149" s="1">
        <v>146.44399999999999</v>
      </c>
      <c r="AF149" s="1">
        <v>-1.0529999999999999</v>
      </c>
      <c r="AH149" s="1">
        <v>146.44900000000001</v>
      </c>
      <c r="AI149" s="1">
        <v>-2.4830000000000001</v>
      </c>
      <c r="AL149" s="1">
        <v>146.38999999999999</v>
      </c>
      <c r="AM149" s="1">
        <v>5.9420000000000002</v>
      </c>
      <c r="AO149" s="1">
        <v>146.44300000000001</v>
      </c>
      <c r="AP149" s="1">
        <v>-3.7639999999999998</v>
      </c>
      <c r="AR149" s="1">
        <v>146.35599999999999</v>
      </c>
      <c r="AS149" s="1">
        <v>-2.1989999999999998</v>
      </c>
    </row>
    <row r="150" spans="1:45" x14ac:dyDescent="0.2">
      <c r="A150" s="1">
        <v>147.59200000000001</v>
      </c>
      <c r="B150" s="1">
        <v>12.278</v>
      </c>
      <c r="D150" s="1">
        <v>147.47200000000001</v>
      </c>
      <c r="E150" s="1">
        <v>7.9550000000000001</v>
      </c>
      <c r="G150" s="1">
        <v>147.477</v>
      </c>
      <c r="H150" s="1">
        <v>6.72</v>
      </c>
      <c r="J150" s="1">
        <v>147.37700000000001</v>
      </c>
      <c r="K150" s="1">
        <v>9.1989999999999998</v>
      </c>
      <c r="M150" s="1">
        <v>147.501</v>
      </c>
      <c r="N150" s="1">
        <v>1.4564999999999999</v>
      </c>
      <c r="P150" s="1">
        <v>147.40199999999999</v>
      </c>
      <c r="Q150" s="1">
        <v>0.41949999999999998</v>
      </c>
      <c r="S150" s="1">
        <v>147.35499999999999</v>
      </c>
      <c r="T150" s="1">
        <v>0.49249999999999999</v>
      </c>
      <c r="V150" s="1">
        <v>147.41300000000001</v>
      </c>
      <c r="W150" s="1">
        <v>0.48299999999999998</v>
      </c>
      <c r="Y150" s="1">
        <v>147.381</v>
      </c>
      <c r="Z150" s="1">
        <v>1.2605</v>
      </c>
      <c r="AB150" s="1">
        <v>147.392</v>
      </c>
      <c r="AC150" s="1">
        <v>-1.579</v>
      </c>
      <c r="AE150" s="1">
        <v>147.45099999999999</v>
      </c>
      <c r="AF150" s="1">
        <v>-1.149</v>
      </c>
      <c r="AH150" s="1">
        <v>147.45500000000001</v>
      </c>
      <c r="AI150" s="1">
        <v>-2.4670000000000001</v>
      </c>
      <c r="AL150" s="1">
        <v>147.398</v>
      </c>
      <c r="AM150" s="1">
        <v>5.8550000000000004</v>
      </c>
      <c r="AO150" s="1">
        <v>147.44900000000001</v>
      </c>
      <c r="AP150" s="1">
        <v>-3.7679999999999998</v>
      </c>
      <c r="AR150" s="1">
        <v>147.36199999999999</v>
      </c>
      <c r="AS150" s="1">
        <v>-2.274</v>
      </c>
    </row>
    <row r="151" spans="1:45" x14ac:dyDescent="0.2">
      <c r="A151" s="1">
        <v>148.59800000000001</v>
      </c>
      <c r="B151" s="1">
        <v>12.21</v>
      </c>
      <c r="D151" s="1">
        <v>148.476</v>
      </c>
      <c r="E151" s="1">
        <v>7.8719999999999999</v>
      </c>
      <c r="G151" s="1">
        <v>148.482</v>
      </c>
      <c r="H151" s="1">
        <v>6.6455000000000002</v>
      </c>
      <c r="J151" s="1">
        <v>148.38399999999999</v>
      </c>
      <c r="K151" s="1">
        <v>9.0995000000000008</v>
      </c>
      <c r="M151" s="1">
        <v>148.505</v>
      </c>
      <c r="N151" s="1">
        <v>1.379</v>
      </c>
      <c r="P151" s="1">
        <v>148.40600000000001</v>
      </c>
      <c r="Q151" s="1">
        <v>0.35899999999999999</v>
      </c>
      <c r="S151" s="1">
        <v>148.36000000000001</v>
      </c>
      <c r="T151" s="1">
        <v>0.41099999999999998</v>
      </c>
      <c r="V151" s="1">
        <v>148.41800000000001</v>
      </c>
      <c r="W151" s="1">
        <v>0.41899999999999998</v>
      </c>
      <c r="Y151" s="1">
        <v>148.38800000000001</v>
      </c>
      <c r="Z151" s="1">
        <v>1.1975</v>
      </c>
      <c r="AB151" s="1">
        <v>148.398</v>
      </c>
      <c r="AC151" s="1">
        <v>-1.6755</v>
      </c>
      <c r="AE151" s="1">
        <v>148.458</v>
      </c>
      <c r="AF151" s="1">
        <v>-1.2355</v>
      </c>
      <c r="AH151" s="1">
        <v>148.46100000000001</v>
      </c>
      <c r="AI151" s="1">
        <v>-2.4420000000000002</v>
      </c>
      <c r="AL151" s="1">
        <v>148.405</v>
      </c>
      <c r="AM151" s="1">
        <v>5.7720000000000002</v>
      </c>
      <c r="AO151" s="1">
        <v>148.45599999999999</v>
      </c>
      <c r="AP151" s="1">
        <v>-3.762</v>
      </c>
      <c r="AR151" s="1">
        <v>148.37</v>
      </c>
      <c r="AS151" s="1">
        <v>-2.351</v>
      </c>
    </row>
    <row r="152" spans="1:45" x14ac:dyDescent="0.2">
      <c r="A152" s="1">
        <v>149.60300000000001</v>
      </c>
      <c r="B152" s="1">
        <v>12.137</v>
      </c>
      <c r="D152" s="1">
        <v>149.482</v>
      </c>
      <c r="E152" s="1">
        <v>7.782</v>
      </c>
      <c r="G152" s="1">
        <v>149.488</v>
      </c>
      <c r="H152" s="1">
        <v>6.57</v>
      </c>
      <c r="J152" s="1">
        <v>149.38900000000001</v>
      </c>
      <c r="K152" s="1">
        <v>9.0090000000000003</v>
      </c>
      <c r="M152" s="1">
        <v>149.511</v>
      </c>
      <c r="N152" s="1">
        <v>1.3095000000000001</v>
      </c>
      <c r="P152" s="1">
        <v>149.411</v>
      </c>
      <c r="Q152" s="1">
        <v>0.29849999999999999</v>
      </c>
      <c r="S152" s="1">
        <v>149.36699999999999</v>
      </c>
      <c r="T152" s="1">
        <v>0.34250000000000003</v>
      </c>
      <c r="V152" s="1">
        <v>149.42400000000001</v>
      </c>
      <c r="W152" s="1">
        <v>0.35549999999999998</v>
      </c>
      <c r="Y152" s="1">
        <v>149.39699999999999</v>
      </c>
      <c r="Z152" s="1">
        <v>1.1254999999999999</v>
      </c>
      <c r="AB152" s="1">
        <v>149.40199999999999</v>
      </c>
      <c r="AC152" s="1">
        <v>-1.766</v>
      </c>
      <c r="AE152" s="1">
        <v>149.46299999999999</v>
      </c>
      <c r="AF152" s="1">
        <v>-1.325</v>
      </c>
      <c r="AH152" s="1">
        <v>149.465</v>
      </c>
      <c r="AI152" s="1">
        <v>-2.4209999999999998</v>
      </c>
      <c r="AL152" s="1">
        <v>149.40899999999999</v>
      </c>
      <c r="AM152" s="1">
        <v>5.6859999999999999</v>
      </c>
      <c r="AO152" s="1">
        <v>149.46299999999999</v>
      </c>
      <c r="AP152" s="1">
        <v>-3.7629999999999999</v>
      </c>
      <c r="AR152" s="1">
        <v>149.37799999999999</v>
      </c>
      <c r="AS152" s="1">
        <v>-2.4205000000000001</v>
      </c>
    </row>
    <row r="153" spans="1:45" x14ac:dyDescent="0.2">
      <c r="A153" s="1">
        <v>150.60900000000001</v>
      </c>
      <c r="B153" s="1">
        <v>12.073</v>
      </c>
      <c r="D153" s="1">
        <v>150.48500000000001</v>
      </c>
      <c r="E153" s="1">
        <v>7.7</v>
      </c>
      <c r="G153" s="1">
        <v>150.49100000000001</v>
      </c>
      <c r="H153" s="1">
        <v>6.4969999999999999</v>
      </c>
      <c r="J153" s="1">
        <v>150.39500000000001</v>
      </c>
      <c r="K153" s="1">
        <v>8.9239999999999995</v>
      </c>
      <c r="M153" s="1">
        <v>150.51599999999999</v>
      </c>
      <c r="N153" s="1">
        <v>1.2350000000000001</v>
      </c>
      <c r="P153" s="1">
        <v>150.416</v>
      </c>
      <c r="Q153" s="1">
        <v>0.24299999999999999</v>
      </c>
      <c r="S153" s="1">
        <v>150.375</v>
      </c>
      <c r="T153" s="1">
        <v>0.27800000000000002</v>
      </c>
      <c r="V153" s="1">
        <v>150.43100000000001</v>
      </c>
      <c r="W153" s="1">
        <v>0.29799999999999999</v>
      </c>
      <c r="Y153" s="1">
        <v>150.404</v>
      </c>
      <c r="Z153" s="1">
        <v>1.0549999999999999</v>
      </c>
      <c r="AB153" s="1">
        <v>150.40899999999999</v>
      </c>
      <c r="AC153" s="1">
        <v>-1.8540000000000001</v>
      </c>
      <c r="AE153" s="1">
        <v>150.46799999999999</v>
      </c>
      <c r="AF153" s="1">
        <v>-1.407</v>
      </c>
      <c r="AH153" s="1">
        <v>150.47</v>
      </c>
      <c r="AI153" s="1">
        <v>-2.403</v>
      </c>
      <c r="AL153" s="1">
        <v>150.416</v>
      </c>
      <c r="AM153" s="1">
        <v>5.61</v>
      </c>
      <c r="AO153" s="1">
        <v>150.471</v>
      </c>
      <c r="AP153" s="1">
        <v>-3.762</v>
      </c>
      <c r="AR153" s="1">
        <v>150.38399999999999</v>
      </c>
      <c r="AS153" s="1">
        <v>-2.5015000000000001</v>
      </c>
    </row>
    <row r="154" spans="1:45" x14ac:dyDescent="0.2">
      <c r="A154" s="1">
        <v>151.614</v>
      </c>
      <c r="B154" s="1">
        <v>12.005000000000001</v>
      </c>
      <c r="D154" s="1">
        <v>151.488</v>
      </c>
      <c r="E154" s="1">
        <v>7.6204999999999998</v>
      </c>
      <c r="G154" s="1">
        <v>151.49600000000001</v>
      </c>
      <c r="H154" s="1">
        <v>6.4195000000000002</v>
      </c>
      <c r="J154" s="1">
        <v>151.4</v>
      </c>
      <c r="K154" s="1">
        <v>8.8390000000000004</v>
      </c>
      <c r="M154" s="1">
        <v>151.52099999999999</v>
      </c>
      <c r="N154" s="1">
        <v>1.1745000000000001</v>
      </c>
      <c r="P154" s="1">
        <v>151.42099999999999</v>
      </c>
      <c r="Q154" s="1">
        <v>0.1885</v>
      </c>
      <c r="S154" s="1">
        <v>151.38200000000001</v>
      </c>
      <c r="T154" s="1">
        <v>0.2175</v>
      </c>
      <c r="V154" s="1">
        <v>151.43799999999999</v>
      </c>
      <c r="W154" s="1">
        <v>0.23699999999999999</v>
      </c>
      <c r="Y154" s="1">
        <v>151.40899999999999</v>
      </c>
      <c r="Z154" s="1">
        <v>0.97899999999999998</v>
      </c>
      <c r="AB154" s="1">
        <v>151.416</v>
      </c>
      <c r="AC154" s="1">
        <v>-1.948</v>
      </c>
      <c r="AE154" s="1">
        <v>151.471</v>
      </c>
      <c r="AF154" s="1">
        <v>-1.4904999999999999</v>
      </c>
      <c r="AH154" s="1">
        <v>151.477</v>
      </c>
      <c r="AI154" s="1">
        <v>-2.3919999999999999</v>
      </c>
      <c r="AL154" s="1">
        <v>151.42500000000001</v>
      </c>
      <c r="AM154" s="1">
        <v>5.5289999999999999</v>
      </c>
      <c r="AO154" s="1">
        <v>151.47499999999999</v>
      </c>
      <c r="AP154" s="1">
        <v>-3.76</v>
      </c>
      <c r="AR154" s="1">
        <v>151.393</v>
      </c>
      <c r="AS154" s="1">
        <v>-2.5840000000000001</v>
      </c>
    </row>
    <row r="155" spans="1:45" x14ac:dyDescent="0.2">
      <c r="A155" s="1">
        <v>152.62100000000001</v>
      </c>
      <c r="B155" s="1">
        <v>11.933999999999999</v>
      </c>
      <c r="D155" s="1">
        <v>152.49299999999999</v>
      </c>
      <c r="E155" s="1">
        <v>7.5410000000000004</v>
      </c>
      <c r="G155" s="1">
        <v>152.506</v>
      </c>
      <c r="H155" s="1">
        <v>6.3445</v>
      </c>
      <c r="J155" s="1">
        <v>152.40899999999999</v>
      </c>
      <c r="K155" s="1">
        <v>8.7494999999999994</v>
      </c>
      <c r="M155" s="1">
        <v>152.529</v>
      </c>
      <c r="N155" s="1">
        <v>1.1040000000000001</v>
      </c>
      <c r="P155" s="1">
        <v>152.42500000000001</v>
      </c>
      <c r="Q155" s="1">
        <v>0.121</v>
      </c>
      <c r="S155" s="1">
        <v>152.387</v>
      </c>
      <c r="T155" s="1">
        <v>0.1585</v>
      </c>
      <c r="V155" s="1">
        <v>152.44499999999999</v>
      </c>
      <c r="W155" s="1">
        <v>0.17549999999999999</v>
      </c>
      <c r="Y155" s="1">
        <v>152.41499999999999</v>
      </c>
      <c r="Z155" s="1">
        <v>0.89649999999999996</v>
      </c>
      <c r="AB155" s="1">
        <v>152.422</v>
      </c>
      <c r="AC155" s="1">
        <v>-2.0379999999999998</v>
      </c>
      <c r="AE155" s="1">
        <v>152.477</v>
      </c>
      <c r="AF155" s="1">
        <v>-1.5660000000000001</v>
      </c>
      <c r="AH155" s="1">
        <v>152.48599999999999</v>
      </c>
      <c r="AI155" s="1">
        <v>-2.3835000000000002</v>
      </c>
      <c r="AL155" s="1">
        <v>152.43299999999999</v>
      </c>
      <c r="AM155" s="1">
        <v>5.4465000000000003</v>
      </c>
      <c r="AO155" s="1">
        <v>152.48099999999999</v>
      </c>
      <c r="AP155" s="1">
        <v>-3.7614999999999998</v>
      </c>
      <c r="AR155" s="1">
        <v>152.398</v>
      </c>
      <c r="AS155" s="1">
        <v>-2.6644999999999999</v>
      </c>
    </row>
    <row r="156" spans="1:45" x14ac:dyDescent="0.2">
      <c r="A156" s="1">
        <v>153.626</v>
      </c>
      <c r="B156" s="1">
        <v>11.8645</v>
      </c>
      <c r="D156" s="1">
        <v>153.5</v>
      </c>
      <c r="E156" s="1">
        <v>7.46</v>
      </c>
      <c r="G156" s="1">
        <v>153.51499999999999</v>
      </c>
      <c r="H156" s="1">
        <v>6.2759999999999998</v>
      </c>
      <c r="J156" s="1">
        <v>153.41200000000001</v>
      </c>
      <c r="K156" s="1">
        <v>8.6534999999999993</v>
      </c>
      <c r="M156" s="1">
        <v>153.535</v>
      </c>
      <c r="N156" s="1">
        <v>1.0245</v>
      </c>
      <c r="P156" s="1">
        <v>153.43199999999999</v>
      </c>
      <c r="Q156" s="1">
        <v>0.06</v>
      </c>
      <c r="S156" s="1">
        <v>153.392</v>
      </c>
      <c r="T156" s="1">
        <v>8.6999999999999994E-2</v>
      </c>
      <c r="V156" s="1">
        <v>153.44999999999999</v>
      </c>
      <c r="W156" s="1">
        <v>0.10199999999999999</v>
      </c>
      <c r="Y156" s="1">
        <v>153.423</v>
      </c>
      <c r="Z156" s="1">
        <v>0.83250000000000002</v>
      </c>
      <c r="AB156" s="1">
        <v>153.429</v>
      </c>
      <c r="AC156" s="1">
        <v>-2.1339999999999999</v>
      </c>
      <c r="AE156" s="1">
        <v>153.483</v>
      </c>
      <c r="AF156" s="1">
        <v>-1.6625000000000001</v>
      </c>
      <c r="AH156" s="1">
        <v>153.489</v>
      </c>
      <c r="AI156" s="1">
        <v>-2.3740000000000001</v>
      </c>
      <c r="AL156" s="1">
        <v>153.44200000000001</v>
      </c>
      <c r="AM156" s="1">
        <v>5.3630000000000004</v>
      </c>
      <c r="AO156" s="1">
        <v>153.48699999999999</v>
      </c>
      <c r="AP156" s="1">
        <v>-3.7679999999999998</v>
      </c>
      <c r="AR156" s="1">
        <v>153.40299999999999</v>
      </c>
      <c r="AS156" s="1">
        <v>-2.742</v>
      </c>
    </row>
    <row r="157" spans="1:45" x14ac:dyDescent="0.2">
      <c r="A157" s="1">
        <v>154.631</v>
      </c>
      <c r="B157" s="1">
        <v>11.798</v>
      </c>
      <c r="D157" s="1">
        <v>154.50700000000001</v>
      </c>
      <c r="E157" s="1">
        <v>7.3849999999999998</v>
      </c>
      <c r="G157" s="1">
        <v>154.52000000000001</v>
      </c>
      <c r="H157" s="1">
        <v>6.2</v>
      </c>
      <c r="J157" s="1">
        <v>154.41399999999999</v>
      </c>
      <c r="K157" s="1">
        <v>8.5685000000000002</v>
      </c>
      <c r="M157" s="1">
        <v>154.54300000000001</v>
      </c>
      <c r="N157" s="1">
        <v>0.94650000000000001</v>
      </c>
      <c r="P157" s="1">
        <v>154.43899999999999</v>
      </c>
      <c r="Q157" s="1">
        <v>6.4999999999999997E-3</v>
      </c>
      <c r="S157" s="1">
        <v>154.399</v>
      </c>
      <c r="T157" s="1">
        <v>2.8500000000000001E-2</v>
      </c>
      <c r="V157" s="1">
        <v>154.45400000000001</v>
      </c>
      <c r="W157" s="1">
        <v>4.5999999999999999E-2</v>
      </c>
      <c r="Y157" s="1">
        <v>154.42699999999999</v>
      </c>
      <c r="Z157" s="1">
        <v>0.76200000000000001</v>
      </c>
      <c r="AB157" s="1">
        <v>154.434</v>
      </c>
      <c r="AC157" s="1">
        <v>-2.2349999999999999</v>
      </c>
      <c r="AE157" s="1">
        <v>154.49</v>
      </c>
      <c r="AF157" s="1">
        <v>-1.7464999999999999</v>
      </c>
      <c r="AH157" s="1">
        <v>154.495</v>
      </c>
      <c r="AI157" s="1">
        <v>-2.3620000000000001</v>
      </c>
      <c r="AL157" s="1">
        <v>154.44999999999999</v>
      </c>
      <c r="AM157" s="1">
        <v>5.282</v>
      </c>
      <c r="AO157" s="1">
        <v>154.49299999999999</v>
      </c>
      <c r="AP157" s="1">
        <v>-3.7694999999999999</v>
      </c>
      <c r="AR157" s="1">
        <v>154.40799999999999</v>
      </c>
      <c r="AS157" s="1">
        <v>-2.82</v>
      </c>
    </row>
    <row r="158" spans="1:45" x14ac:dyDescent="0.2">
      <c r="A158" s="1">
        <v>155.63999999999999</v>
      </c>
      <c r="B158" s="1">
        <v>11.727</v>
      </c>
      <c r="D158" s="1">
        <v>155.51499999999999</v>
      </c>
      <c r="E158" s="1">
        <v>7.3</v>
      </c>
      <c r="G158" s="1">
        <v>155.52600000000001</v>
      </c>
      <c r="H158" s="1">
        <v>6.12</v>
      </c>
      <c r="J158" s="1">
        <v>155.422</v>
      </c>
      <c r="K158" s="1">
        <v>8.4760000000000009</v>
      </c>
      <c r="M158" s="1">
        <v>155.548</v>
      </c>
      <c r="N158" s="1">
        <v>0.87949999999999995</v>
      </c>
      <c r="P158" s="1">
        <v>155.446</v>
      </c>
      <c r="Q158" s="1">
        <v>-4.3499999999999997E-2</v>
      </c>
      <c r="S158" s="1">
        <v>155.40700000000001</v>
      </c>
      <c r="T158" s="1">
        <v>-2.3E-2</v>
      </c>
      <c r="V158" s="1">
        <v>155.458</v>
      </c>
      <c r="W158" s="1">
        <v>-1.15E-2</v>
      </c>
      <c r="Y158" s="1">
        <v>155.43299999999999</v>
      </c>
      <c r="Z158" s="1">
        <v>0.6855</v>
      </c>
      <c r="AB158" s="1">
        <v>155.43799999999999</v>
      </c>
      <c r="AC158" s="1">
        <v>-2.319</v>
      </c>
      <c r="AE158" s="1">
        <v>155.495</v>
      </c>
      <c r="AF158" s="1">
        <v>-1.8385</v>
      </c>
      <c r="AH158" s="1">
        <v>155.5</v>
      </c>
      <c r="AI158" s="1">
        <v>-2.3574999999999999</v>
      </c>
      <c r="AL158" s="1">
        <v>155.45599999999999</v>
      </c>
      <c r="AM158" s="1">
        <v>5.1980000000000004</v>
      </c>
      <c r="AO158" s="1">
        <v>155.5</v>
      </c>
      <c r="AP158" s="1">
        <v>-3.7719999999999998</v>
      </c>
      <c r="AR158" s="1">
        <v>155.41499999999999</v>
      </c>
      <c r="AS158" s="1">
        <v>-2.8995000000000002</v>
      </c>
    </row>
    <row r="159" spans="1:45" x14ac:dyDescent="0.2">
      <c r="A159" s="1">
        <v>156.64599999999999</v>
      </c>
      <c r="B159" s="1">
        <v>11.667999999999999</v>
      </c>
      <c r="D159" s="1">
        <v>156.52000000000001</v>
      </c>
      <c r="E159" s="1">
        <v>7.2214999999999998</v>
      </c>
      <c r="G159" s="1">
        <v>156.536</v>
      </c>
      <c r="H159" s="1">
        <v>6.0374999999999996</v>
      </c>
      <c r="J159" s="1">
        <v>156.429</v>
      </c>
      <c r="K159" s="1">
        <v>8.3985000000000003</v>
      </c>
      <c r="M159" s="1">
        <v>156.55500000000001</v>
      </c>
      <c r="N159" s="1">
        <v>0.80200000000000005</v>
      </c>
      <c r="P159" s="1">
        <v>156.45500000000001</v>
      </c>
      <c r="Q159" s="1">
        <v>-0.104</v>
      </c>
      <c r="S159" s="1">
        <v>156.41200000000001</v>
      </c>
      <c r="T159" s="1">
        <v>-9.0499999999999997E-2</v>
      </c>
      <c r="V159" s="1">
        <v>156.465</v>
      </c>
      <c r="W159" s="1">
        <v>-6.8000000000000005E-2</v>
      </c>
      <c r="Y159" s="1">
        <v>156.43799999999999</v>
      </c>
      <c r="Z159" s="1">
        <v>0.60799999999999998</v>
      </c>
      <c r="AB159" s="1">
        <v>156.44300000000001</v>
      </c>
      <c r="AC159" s="1">
        <v>-2.4119999999999999</v>
      </c>
      <c r="AE159" s="1">
        <v>156.50399999999999</v>
      </c>
      <c r="AF159" s="1">
        <v>-1.9135</v>
      </c>
      <c r="AH159" s="1">
        <v>156.50700000000001</v>
      </c>
      <c r="AI159" s="1">
        <v>-2.3494999999999999</v>
      </c>
      <c r="AL159" s="1">
        <v>156.46199999999999</v>
      </c>
      <c r="AM159" s="1">
        <v>5.1165000000000003</v>
      </c>
      <c r="AO159" s="1">
        <v>156.50399999999999</v>
      </c>
      <c r="AP159" s="1">
        <v>-3.7845</v>
      </c>
      <c r="AR159" s="1">
        <v>156.423</v>
      </c>
      <c r="AS159" s="1">
        <v>-2.9704999999999999</v>
      </c>
    </row>
    <row r="160" spans="1:45" x14ac:dyDescent="0.2">
      <c r="A160" s="1">
        <v>157.65</v>
      </c>
      <c r="B160" s="1">
        <v>11.596500000000001</v>
      </c>
      <c r="D160" s="1">
        <v>157.52699999999999</v>
      </c>
      <c r="E160" s="1">
        <v>7.1349999999999998</v>
      </c>
      <c r="G160" s="1">
        <v>157.54400000000001</v>
      </c>
      <c r="H160" s="1">
        <v>5.9560000000000004</v>
      </c>
      <c r="J160" s="1">
        <v>157.435</v>
      </c>
      <c r="K160" s="1">
        <v>8.3224999999999998</v>
      </c>
      <c r="M160" s="1">
        <v>157.56100000000001</v>
      </c>
      <c r="N160" s="1">
        <v>0.73950000000000005</v>
      </c>
      <c r="P160" s="1">
        <v>157.464</v>
      </c>
      <c r="Q160" s="1">
        <v>-0.161</v>
      </c>
      <c r="S160" s="1">
        <v>157.417</v>
      </c>
      <c r="T160" s="1">
        <v>-0.1605</v>
      </c>
      <c r="V160" s="1">
        <v>157.46899999999999</v>
      </c>
      <c r="W160" s="1">
        <v>-0.1285</v>
      </c>
      <c r="Y160" s="1">
        <v>157.446</v>
      </c>
      <c r="Z160" s="1">
        <v>0.53900000000000003</v>
      </c>
      <c r="AB160" s="1">
        <v>157.452</v>
      </c>
      <c r="AC160" s="1">
        <v>-2.4929999999999999</v>
      </c>
      <c r="AE160" s="1">
        <v>157.512</v>
      </c>
      <c r="AF160" s="1">
        <v>-2</v>
      </c>
      <c r="AH160" s="1">
        <v>157.51599999999999</v>
      </c>
      <c r="AI160" s="1">
        <v>-2.347</v>
      </c>
      <c r="AL160" s="1">
        <v>157.46899999999999</v>
      </c>
      <c r="AM160" s="1">
        <v>5.0365000000000002</v>
      </c>
      <c r="AO160" s="1">
        <v>157.51300000000001</v>
      </c>
      <c r="AP160" s="1">
        <v>-3.7875000000000001</v>
      </c>
      <c r="AR160" s="1">
        <v>157.42699999999999</v>
      </c>
      <c r="AS160" s="1">
        <v>-3.0455000000000001</v>
      </c>
    </row>
    <row r="161" spans="1:45" x14ac:dyDescent="0.2">
      <c r="A161" s="1">
        <v>158.65600000000001</v>
      </c>
      <c r="B161" s="1">
        <v>11.528</v>
      </c>
      <c r="D161" s="1">
        <v>158.53200000000001</v>
      </c>
      <c r="E161" s="1">
        <v>7.0529999999999999</v>
      </c>
      <c r="G161" s="1">
        <v>158.55000000000001</v>
      </c>
      <c r="H161" s="1">
        <v>5.8860000000000001</v>
      </c>
      <c r="J161" s="1">
        <v>158.441</v>
      </c>
      <c r="K161" s="1">
        <v>8.2304999999999993</v>
      </c>
      <c r="M161" s="1">
        <v>158.56800000000001</v>
      </c>
      <c r="N161" s="1">
        <v>0.66749999999999998</v>
      </c>
      <c r="P161" s="1">
        <v>158.47</v>
      </c>
      <c r="Q161" s="1">
        <v>-0.214</v>
      </c>
      <c r="S161" s="1">
        <v>158.422</v>
      </c>
      <c r="T161" s="1">
        <v>-0.224</v>
      </c>
      <c r="V161" s="1">
        <v>158.47800000000001</v>
      </c>
      <c r="W161" s="1">
        <v>-0.20449999999999999</v>
      </c>
      <c r="Y161" s="1">
        <v>158.45400000000001</v>
      </c>
      <c r="Z161" s="1">
        <v>0.46650000000000003</v>
      </c>
      <c r="AB161" s="1">
        <v>158.459</v>
      </c>
      <c r="AC161" s="1">
        <v>-2.5764999999999998</v>
      </c>
      <c r="AE161" s="1">
        <v>158.518</v>
      </c>
      <c r="AF161" s="1">
        <v>-2.0825</v>
      </c>
      <c r="AH161" s="1">
        <v>158.523</v>
      </c>
      <c r="AI161" s="1">
        <v>-2.3450000000000002</v>
      </c>
      <c r="AL161" s="1">
        <v>158.48099999999999</v>
      </c>
      <c r="AM161" s="1">
        <v>4.9565000000000001</v>
      </c>
      <c r="AO161" s="1">
        <v>158.52199999999999</v>
      </c>
      <c r="AP161" s="1">
        <v>-3.798</v>
      </c>
      <c r="AR161" s="1">
        <v>158.434</v>
      </c>
      <c r="AS161" s="1">
        <v>-3.1259999999999999</v>
      </c>
    </row>
    <row r="162" spans="1:45" x14ac:dyDescent="0.2">
      <c r="A162" s="1">
        <v>159.661</v>
      </c>
      <c r="B162" s="1">
        <v>11.458</v>
      </c>
      <c r="D162" s="1">
        <v>159.53800000000001</v>
      </c>
      <c r="E162" s="1">
        <v>6.9755000000000003</v>
      </c>
      <c r="G162" s="1">
        <v>159.55699999999999</v>
      </c>
      <c r="H162" s="1">
        <v>5.8090000000000002</v>
      </c>
      <c r="J162" s="1">
        <v>159.447</v>
      </c>
      <c r="K162" s="1">
        <v>8.1415000000000006</v>
      </c>
      <c r="M162" s="1">
        <v>159.57499999999999</v>
      </c>
      <c r="N162" s="1">
        <v>0.59299999999999997</v>
      </c>
      <c r="P162" s="1">
        <v>159.47800000000001</v>
      </c>
      <c r="Q162" s="1">
        <v>-0.27550000000000002</v>
      </c>
      <c r="S162" s="1">
        <v>159.42400000000001</v>
      </c>
      <c r="T162" s="1">
        <v>-0.28899999999999998</v>
      </c>
      <c r="V162" s="1">
        <v>159.482</v>
      </c>
      <c r="W162" s="1">
        <v>-0.26</v>
      </c>
      <c r="Y162" s="1">
        <v>159.459</v>
      </c>
      <c r="Z162" s="1">
        <v>0.40300000000000002</v>
      </c>
      <c r="AB162" s="1">
        <v>159.46299999999999</v>
      </c>
      <c r="AC162" s="1">
        <v>-2.6575000000000002</v>
      </c>
      <c r="AE162" s="1">
        <v>159.523</v>
      </c>
      <c r="AF162" s="1">
        <v>-2.1795</v>
      </c>
      <c r="AH162" s="1">
        <v>159.529</v>
      </c>
      <c r="AI162" s="1">
        <v>-2.339</v>
      </c>
      <c r="AL162" s="1">
        <v>159.49100000000001</v>
      </c>
      <c r="AM162" s="1">
        <v>4.8680000000000003</v>
      </c>
      <c r="AO162" s="1">
        <v>159.529</v>
      </c>
      <c r="AP162" s="1">
        <v>-3.7965</v>
      </c>
      <c r="AR162" s="1">
        <v>159.43899999999999</v>
      </c>
      <c r="AS162" s="1">
        <v>-3.2014999999999998</v>
      </c>
    </row>
    <row r="163" spans="1:45" x14ac:dyDescent="0.2">
      <c r="A163" s="1">
        <v>160.666</v>
      </c>
      <c r="B163" s="1">
        <v>11.388999999999999</v>
      </c>
      <c r="D163" s="1">
        <v>160.54499999999999</v>
      </c>
      <c r="E163" s="1">
        <v>6.8925000000000001</v>
      </c>
      <c r="G163" s="1">
        <v>160.56399999999999</v>
      </c>
      <c r="H163" s="1">
        <v>5.7374999999999998</v>
      </c>
      <c r="J163" s="1">
        <v>160.45400000000001</v>
      </c>
      <c r="K163" s="1">
        <v>8.0465</v>
      </c>
      <c r="M163" s="1">
        <v>160.584</v>
      </c>
      <c r="N163" s="1">
        <v>0.50700000000000001</v>
      </c>
      <c r="P163" s="1">
        <v>160.483</v>
      </c>
      <c r="Q163" s="1">
        <v>-0.33700000000000002</v>
      </c>
      <c r="S163" s="1">
        <v>160.429</v>
      </c>
      <c r="T163" s="1">
        <v>-0.34899999999999998</v>
      </c>
      <c r="V163" s="1">
        <v>160.48599999999999</v>
      </c>
      <c r="W163" s="1">
        <v>-0.31900000000000001</v>
      </c>
      <c r="Y163" s="1">
        <v>160.464</v>
      </c>
      <c r="Z163" s="1">
        <v>0.32700000000000001</v>
      </c>
      <c r="AB163" s="1">
        <v>160.46899999999999</v>
      </c>
      <c r="AC163" s="1">
        <v>-2.7480000000000002</v>
      </c>
      <c r="AE163" s="1">
        <v>160.52699999999999</v>
      </c>
      <c r="AF163" s="1">
        <v>-2.2625000000000002</v>
      </c>
      <c r="AH163" s="1">
        <v>160.535</v>
      </c>
      <c r="AI163" s="1">
        <v>-2.3464999999999998</v>
      </c>
      <c r="AL163" s="1">
        <v>160.501</v>
      </c>
      <c r="AM163" s="1">
        <v>4.7854999999999999</v>
      </c>
      <c r="AO163" s="1">
        <v>160.536</v>
      </c>
      <c r="AP163" s="1">
        <v>-3.8025000000000002</v>
      </c>
      <c r="AR163" s="1">
        <v>160.44399999999999</v>
      </c>
      <c r="AS163" s="1">
        <v>-3.2745000000000002</v>
      </c>
    </row>
    <row r="164" spans="1:45" x14ac:dyDescent="0.2">
      <c r="A164" s="1">
        <v>161.66999999999999</v>
      </c>
      <c r="B164" s="1">
        <v>11.321999999999999</v>
      </c>
      <c r="D164" s="1">
        <v>161.55199999999999</v>
      </c>
      <c r="E164" s="1">
        <v>6.8109999999999999</v>
      </c>
      <c r="G164" s="1">
        <v>161.572</v>
      </c>
      <c r="H164" s="1">
        <v>5.6565000000000003</v>
      </c>
      <c r="J164" s="1">
        <v>161.46</v>
      </c>
      <c r="K164" s="1">
        <v>7.9604999999999997</v>
      </c>
      <c r="M164" s="1">
        <v>161.589</v>
      </c>
      <c r="N164" s="1">
        <v>0.4345</v>
      </c>
      <c r="P164" s="1">
        <v>161.488</v>
      </c>
      <c r="Q164" s="1">
        <v>-0.39350000000000002</v>
      </c>
      <c r="S164" s="1">
        <v>161.43799999999999</v>
      </c>
      <c r="T164" s="1">
        <v>-0.42249999999999999</v>
      </c>
      <c r="V164" s="1">
        <v>161.49299999999999</v>
      </c>
      <c r="W164" s="1">
        <v>-0.38</v>
      </c>
      <c r="Y164" s="1">
        <v>161.47</v>
      </c>
      <c r="Z164" s="1">
        <v>0.25700000000000001</v>
      </c>
      <c r="AB164" s="1">
        <v>161.477</v>
      </c>
      <c r="AC164" s="1">
        <v>-2.84</v>
      </c>
      <c r="AE164" s="1">
        <v>161.53299999999999</v>
      </c>
      <c r="AF164" s="1">
        <v>-2.34</v>
      </c>
      <c r="AH164" s="1">
        <v>161.541</v>
      </c>
      <c r="AI164" s="1">
        <v>-2.3464999999999998</v>
      </c>
      <c r="AL164" s="1">
        <v>161.50800000000001</v>
      </c>
      <c r="AM164" s="1">
        <v>4.7009999999999996</v>
      </c>
      <c r="AO164" s="1">
        <v>161.541</v>
      </c>
      <c r="AP164" s="1">
        <v>-3.8025000000000002</v>
      </c>
      <c r="AR164" s="1">
        <v>161.44999999999999</v>
      </c>
      <c r="AS164" s="1">
        <v>-3.3454999999999999</v>
      </c>
    </row>
    <row r="165" spans="1:45" x14ac:dyDescent="0.2">
      <c r="A165" s="1">
        <v>162.67400000000001</v>
      </c>
      <c r="B165" s="1">
        <v>11.2575</v>
      </c>
      <c r="D165" s="1">
        <v>162.55799999999999</v>
      </c>
      <c r="E165" s="1">
        <v>6.7294999999999998</v>
      </c>
      <c r="G165" s="1">
        <v>162.57499999999999</v>
      </c>
      <c r="H165" s="1">
        <v>5.5869999999999997</v>
      </c>
      <c r="J165" s="1">
        <v>162.46600000000001</v>
      </c>
      <c r="K165" s="1">
        <v>7.8689999999999998</v>
      </c>
      <c r="M165" s="1">
        <v>162.59200000000001</v>
      </c>
      <c r="N165" s="1">
        <v>0.3695</v>
      </c>
      <c r="P165" s="1">
        <v>162.495</v>
      </c>
      <c r="Q165" s="1">
        <v>-0.443</v>
      </c>
      <c r="S165" s="1">
        <v>162.44499999999999</v>
      </c>
      <c r="T165" s="1">
        <v>-0.48</v>
      </c>
      <c r="V165" s="1">
        <v>162.49799999999999</v>
      </c>
      <c r="W165" s="1">
        <v>-0.434</v>
      </c>
      <c r="Y165" s="1">
        <v>162.476</v>
      </c>
      <c r="Z165" s="1">
        <v>0.193</v>
      </c>
      <c r="AB165" s="1">
        <v>162.48699999999999</v>
      </c>
      <c r="AC165" s="1">
        <v>-2.9355000000000002</v>
      </c>
      <c r="AE165" s="1">
        <v>162.53700000000001</v>
      </c>
      <c r="AF165" s="1">
        <v>-2.4255</v>
      </c>
      <c r="AH165" s="1">
        <v>162.54499999999999</v>
      </c>
      <c r="AI165" s="1">
        <v>-2.3519999999999999</v>
      </c>
      <c r="AL165" s="1">
        <v>162.51599999999999</v>
      </c>
      <c r="AM165" s="1">
        <v>4.62</v>
      </c>
      <c r="AO165" s="1">
        <v>162.54599999999999</v>
      </c>
      <c r="AP165" s="1">
        <v>-3.8045</v>
      </c>
      <c r="AR165" s="1">
        <v>162.458</v>
      </c>
      <c r="AS165" s="1">
        <v>-3.4039999999999999</v>
      </c>
    </row>
    <row r="166" spans="1:45" x14ac:dyDescent="0.2">
      <c r="A166" s="1">
        <v>163.679</v>
      </c>
      <c r="B166" s="1">
        <v>11.188000000000001</v>
      </c>
      <c r="D166" s="1">
        <v>163.56399999999999</v>
      </c>
      <c r="E166" s="1">
        <v>6.6550000000000002</v>
      </c>
      <c r="G166" s="1">
        <v>163.58000000000001</v>
      </c>
      <c r="H166" s="1">
        <v>5.5164999999999997</v>
      </c>
      <c r="J166" s="1">
        <v>163.47200000000001</v>
      </c>
      <c r="K166" s="1">
        <v>7.7865000000000002</v>
      </c>
      <c r="M166" s="1">
        <v>163.59899999999999</v>
      </c>
      <c r="N166" s="1">
        <v>0.29299999999999998</v>
      </c>
      <c r="P166" s="1">
        <v>163.499</v>
      </c>
      <c r="Q166" s="1">
        <v>-0.4965</v>
      </c>
      <c r="S166" s="1">
        <v>163.452</v>
      </c>
      <c r="T166" s="1">
        <v>-0.53700000000000003</v>
      </c>
      <c r="V166" s="1">
        <v>163.50399999999999</v>
      </c>
      <c r="W166" s="1">
        <v>-0.495</v>
      </c>
      <c r="Y166" s="1">
        <v>163.482</v>
      </c>
      <c r="Z166" s="1">
        <v>0.1135</v>
      </c>
      <c r="AB166" s="1">
        <v>163.49299999999999</v>
      </c>
      <c r="AC166" s="1">
        <v>-3.0219999999999998</v>
      </c>
      <c r="AE166" s="1">
        <v>163.541</v>
      </c>
      <c r="AF166" s="1">
        <v>-2.5099999999999998</v>
      </c>
      <c r="AH166" s="1">
        <v>163.55000000000001</v>
      </c>
      <c r="AI166" s="1">
        <v>-2.3540000000000001</v>
      </c>
      <c r="AL166" s="1">
        <v>163.524</v>
      </c>
      <c r="AM166" s="1">
        <v>4.5324999999999998</v>
      </c>
      <c r="AO166" s="1">
        <v>163.55199999999999</v>
      </c>
      <c r="AP166" s="1">
        <v>-3.8144999999999998</v>
      </c>
      <c r="AR166" s="1">
        <v>163.46299999999999</v>
      </c>
      <c r="AS166" s="1">
        <v>-3.4849999999999999</v>
      </c>
    </row>
    <row r="167" spans="1:45" x14ac:dyDescent="0.2">
      <c r="A167" s="1">
        <v>164.685</v>
      </c>
      <c r="B167" s="1">
        <v>11.1275</v>
      </c>
      <c r="D167" s="1">
        <v>164.571</v>
      </c>
      <c r="E167" s="1">
        <v>6.5685000000000002</v>
      </c>
      <c r="G167" s="1">
        <v>164.58799999999999</v>
      </c>
      <c r="H167" s="1">
        <v>5.4359999999999999</v>
      </c>
      <c r="J167" s="1">
        <v>164.47900000000001</v>
      </c>
      <c r="K167" s="1">
        <v>7.6965000000000003</v>
      </c>
      <c r="M167" s="1">
        <v>164.60400000000001</v>
      </c>
      <c r="N167" s="1">
        <v>0.2135</v>
      </c>
      <c r="P167" s="1">
        <v>164.505</v>
      </c>
      <c r="Q167" s="1">
        <v>-0.54900000000000004</v>
      </c>
      <c r="S167" s="1">
        <v>164.459</v>
      </c>
      <c r="T167" s="1">
        <v>-0.60450000000000004</v>
      </c>
      <c r="V167" s="1">
        <v>164.511</v>
      </c>
      <c r="W167" s="1">
        <v>-0.55000000000000004</v>
      </c>
      <c r="Y167" s="1">
        <v>164.488</v>
      </c>
      <c r="Z167" s="1">
        <v>0.04</v>
      </c>
      <c r="AB167" s="1">
        <v>164.49799999999999</v>
      </c>
      <c r="AC167" s="1">
        <v>-3.1219999999999999</v>
      </c>
      <c r="AE167" s="1">
        <v>164.547</v>
      </c>
      <c r="AF167" s="1">
        <v>-2.593</v>
      </c>
      <c r="AH167" s="1">
        <v>164.554</v>
      </c>
      <c r="AI167" s="1">
        <v>-2.3525</v>
      </c>
      <c r="AL167" s="1">
        <v>164.53</v>
      </c>
      <c r="AM167" s="1">
        <v>4.4524999999999997</v>
      </c>
      <c r="AO167" s="1">
        <v>164.559</v>
      </c>
      <c r="AP167" s="1">
        <v>-3.8210000000000002</v>
      </c>
      <c r="AR167" s="1">
        <v>164.46799999999999</v>
      </c>
      <c r="AS167" s="1">
        <v>-3.5644999999999998</v>
      </c>
    </row>
    <row r="168" spans="1:45" x14ac:dyDescent="0.2">
      <c r="A168" s="1">
        <v>165.69</v>
      </c>
      <c r="B168" s="1">
        <v>11.061999999999999</v>
      </c>
      <c r="D168" s="1">
        <v>165.57499999999999</v>
      </c>
      <c r="E168" s="1">
        <v>6.4870000000000001</v>
      </c>
      <c r="G168" s="1">
        <v>165.59399999999999</v>
      </c>
      <c r="H168" s="1">
        <v>5.359</v>
      </c>
      <c r="J168" s="1">
        <v>165.488</v>
      </c>
      <c r="K168" s="1">
        <v>7.61</v>
      </c>
      <c r="M168" s="1">
        <v>165.61</v>
      </c>
      <c r="N168" s="1">
        <v>0.13400000000000001</v>
      </c>
      <c r="P168" s="1">
        <v>165.512</v>
      </c>
      <c r="Q168" s="1">
        <v>-0.59799999999999998</v>
      </c>
      <c r="S168" s="1">
        <v>165.464</v>
      </c>
      <c r="T168" s="1">
        <v>-0.67249999999999999</v>
      </c>
      <c r="V168" s="1">
        <v>165.51599999999999</v>
      </c>
      <c r="W168" s="1">
        <v>-0.60699999999999998</v>
      </c>
      <c r="Y168" s="1">
        <v>165.49199999999999</v>
      </c>
      <c r="Z168" s="1">
        <v>-1.7500000000000002E-2</v>
      </c>
      <c r="AB168" s="1">
        <v>165.50299999999999</v>
      </c>
      <c r="AC168" s="1">
        <v>-3.2080000000000002</v>
      </c>
      <c r="AE168" s="1">
        <v>165.55500000000001</v>
      </c>
      <c r="AF168" s="1">
        <v>-2.6840000000000002</v>
      </c>
      <c r="AH168" s="1">
        <v>165.559</v>
      </c>
      <c r="AI168" s="1">
        <v>-2.3540000000000001</v>
      </c>
      <c r="AL168" s="1">
        <v>165.53800000000001</v>
      </c>
      <c r="AM168" s="1">
        <v>4.3665000000000003</v>
      </c>
      <c r="AO168" s="1">
        <v>165.566</v>
      </c>
      <c r="AP168" s="1">
        <v>-3.8245</v>
      </c>
      <c r="AR168" s="1">
        <v>165.47200000000001</v>
      </c>
      <c r="AS168" s="1">
        <v>-3.641</v>
      </c>
    </row>
    <row r="169" spans="1:45" x14ac:dyDescent="0.2">
      <c r="A169" s="1">
        <v>166.696</v>
      </c>
      <c r="B169" s="1">
        <v>10.991</v>
      </c>
      <c r="D169" s="1">
        <v>166.58199999999999</v>
      </c>
      <c r="E169" s="1">
        <v>6.4035000000000002</v>
      </c>
      <c r="G169" s="1">
        <v>166.6</v>
      </c>
      <c r="H169" s="1">
        <v>5.2880000000000003</v>
      </c>
      <c r="J169" s="1">
        <v>166.49199999999999</v>
      </c>
      <c r="K169" s="1">
        <v>7.5125000000000002</v>
      </c>
      <c r="M169" s="1">
        <v>166.63900000000001</v>
      </c>
      <c r="N169" s="1">
        <v>5.8999999999999997E-2</v>
      </c>
      <c r="P169" s="1">
        <v>166.51900000000001</v>
      </c>
      <c r="Q169" s="1">
        <v>-0.66700000000000004</v>
      </c>
      <c r="S169" s="1">
        <v>166.46700000000001</v>
      </c>
      <c r="T169" s="1">
        <v>-0.72350000000000003</v>
      </c>
      <c r="V169" s="1">
        <v>166.524</v>
      </c>
      <c r="W169" s="1">
        <v>-0.67049999999999998</v>
      </c>
      <c r="Y169" s="1">
        <v>166.499</v>
      </c>
      <c r="Z169" s="1">
        <v>-9.2999999999999999E-2</v>
      </c>
      <c r="AB169" s="1">
        <v>166.50899999999999</v>
      </c>
      <c r="AC169" s="1">
        <v>-3.2909999999999999</v>
      </c>
      <c r="AE169" s="1">
        <v>166.56200000000001</v>
      </c>
      <c r="AF169" s="1">
        <v>-2.7650000000000001</v>
      </c>
      <c r="AH169" s="1">
        <v>166.566</v>
      </c>
      <c r="AI169" s="1">
        <v>-2.3580000000000001</v>
      </c>
      <c r="AL169" s="1">
        <v>166.54400000000001</v>
      </c>
      <c r="AM169" s="1">
        <v>4.2869999999999999</v>
      </c>
      <c r="AO169" s="1">
        <v>166.57</v>
      </c>
      <c r="AP169" s="1">
        <v>-3.8285</v>
      </c>
      <c r="AR169" s="1">
        <v>166.47499999999999</v>
      </c>
      <c r="AS169" s="1">
        <v>-3.7050000000000001</v>
      </c>
    </row>
    <row r="170" spans="1:45" x14ac:dyDescent="0.2">
      <c r="A170" s="1">
        <v>167.69900000000001</v>
      </c>
      <c r="B170" s="1">
        <v>10.929</v>
      </c>
      <c r="D170" s="1">
        <v>167.58799999999999</v>
      </c>
      <c r="E170" s="1">
        <v>6.3150000000000004</v>
      </c>
      <c r="G170" s="1">
        <v>167.60300000000001</v>
      </c>
      <c r="H170" s="1">
        <v>5.21</v>
      </c>
      <c r="J170" s="1">
        <v>167.49799999999999</v>
      </c>
      <c r="K170" s="1">
        <v>7.4264999999999999</v>
      </c>
      <c r="M170" s="1">
        <v>167.643</v>
      </c>
      <c r="N170" s="1">
        <v>-5.0000000000000001E-3</v>
      </c>
      <c r="P170" s="1">
        <v>167.52500000000001</v>
      </c>
      <c r="Q170" s="1">
        <v>-0.72199999999999998</v>
      </c>
      <c r="S170" s="1">
        <v>167.47399999999999</v>
      </c>
      <c r="T170" s="1">
        <v>-0.78600000000000003</v>
      </c>
      <c r="V170" s="1">
        <v>167.53</v>
      </c>
      <c r="W170" s="1">
        <v>-0.72950000000000004</v>
      </c>
      <c r="Y170" s="1">
        <v>167.505</v>
      </c>
      <c r="Z170" s="1">
        <v>-0.156</v>
      </c>
      <c r="AB170" s="1">
        <v>167.517</v>
      </c>
      <c r="AC170" s="1">
        <v>-3.379</v>
      </c>
      <c r="AE170" s="1">
        <v>167.56800000000001</v>
      </c>
      <c r="AF170" s="1">
        <v>-2.8445</v>
      </c>
      <c r="AH170" s="1">
        <v>167.571</v>
      </c>
      <c r="AI170" s="1">
        <v>-2.3565</v>
      </c>
      <c r="AL170" s="1">
        <v>167.54900000000001</v>
      </c>
      <c r="AM170" s="1">
        <v>4.2030000000000003</v>
      </c>
      <c r="AO170" s="1">
        <v>167.57599999999999</v>
      </c>
      <c r="AP170" s="1">
        <v>-3.83</v>
      </c>
      <c r="AR170" s="1">
        <v>167.47900000000001</v>
      </c>
      <c r="AS170" s="1">
        <v>-3.7795000000000001</v>
      </c>
    </row>
    <row r="171" spans="1:45" x14ac:dyDescent="0.2">
      <c r="A171" s="1">
        <v>168.70400000000001</v>
      </c>
      <c r="B171" s="1">
        <v>10.858000000000001</v>
      </c>
      <c r="D171" s="1">
        <v>168.59800000000001</v>
      </c>
      <c r="E171" s="1">
        <v>6.2380000000000004</v>
      </c>
      <c r="G171" s="1">
        <v>168.60900000000001</v>
      </c>
      <c r="H171" s="1">
        <v>5.1364999999999998</v>
      </c>
      <c r="J171" s="1">
        <v>168.50299999999999</v>
      </c>
      <c r="K171" s="1">
        <v>7.3360000000000003</v>
      </c>
      <c r="M171" s="1">
        <v>168.64699999999999</v>
      </c>
      <c r="N171" s="1">
        <v>-7.5499999999999998E-2</v>
      </c>
      <c r="P171" s="1">
        <v>168.53299999999999</v>
      </c>
      <c r="Q171" s="1">
        <v>-0.77649999999999997</v>
      </c>
      <c r="S171" s="1">
        <v>168.47800000000001</v>
      </c>
      <c r="T171" s="1">
        <v>-0.85199999999999998</v>
      </c>
      <c r="V171" s="1">
        <v>168.53700000000001</v>
      </c>
      <c r="W171" s="1">
        <v>-0.78200000000000003</v>
      </c>
      <c r="Y171" s="1">
        <v>168.50899999999999</v>
      </c>
      <c r="Z171" s="1">
        <v>-0.219</v>
      </c>
      <c r="AB171" s="1">
        <v>168.52500000000001</v>
      </c>
      <c r="AC171" s="1">
        <v>-3.4735</v>
      </c>
      <c r="AE171" s="1">
        <v>168.571</v>
      </c>
      <c r="AF171" s="1">
        <v>-2.9295</v>
      </c>
      <c r="AH171" s="1">
        <v>168.57599999999999</v>
      </c>
      <c r="AI171" s="1">
        <v>-2.3660000000000001</v>
      </c>
      <c r="AL171" s="1">
        <v>168.554</v>
      </c>
      <c r="AM171" s="1">
        <v>4.1130000000000004</v>
      </c>
      <c r="AO171" s="1">
        <v>168.58</v>
      </c>
      <c r="AP171" s="1">
        <v>-3.8285</v>
      </c>
      <c r="AR171" s="1">
        <v>168.48699999999999</v>
      </c>
      <c r="AS171" s="1">
        <v>-3.8405</v>
      </c>
    </row>
    <row r="172" spans="1:45" x14ac:dyDescent="0.2">
      <c r="A172" s="1">
        <v>169.71</v>
      </c>
      <c r="B172" s="1">
        <v>10.784000000000001</v>
      </c>
      <c r="D172" s="1">
        <v>169.60599999999999</v>
      </c>
      <c r="E172" s="1">
        <v>6.1619999999999999</v>
      </c>
      <c r="G172" s="1">
        <v>169.614</v>
      </c>
      <c r="H172" s="1">
        <v>5.0629999999999997</v>
      </c>
      <c r="J172" s="1">
        <v>169.50899999999999</v>
      </c>
      <c r="K172" s="1">
        <v>7.2465000000000002</v>
      </c>
      <c r="M172" s="1">
        <v>169.65199999999999</v>
      </c>
      <c r="N172" s="1">
        <v>-0.14449999999999999</v>
      </c>
      <c r="P172" s="1">
        <v>169.53700000000001</v>
      </c>
      <c r="Q172" s="1">
        <v>-0.83799999999999997</v>
      </c>
      <c r="S172" s="1">
        <v>169.483</v>
      </c>
      <c r="T172" s="1">
        <v>-0.91</v>
      </c>
      <c r="V172" s="1">
        <v>169.54</v>
      </c>
      <c r="W172" s="1">
        <v>-0.84299999999999997</v>
      </c>
      <c r="Y172" s="1">
        <v>169.51400000000001</v>
      </c>
      <c r="Z172" s="1">
        <v>-0.27700000000000002</v>
      </c>
      <c r="AB172" s="1">
        <v>169.53299999999999</v>
      </c>
      <c r="AC172" s="1">
        <v>-3.5565000000000002</v>
      </c>
      <c r="AE172" s="1">
        <v>169.577</v>
      </c>
      <c r="AF172" s="1">
        <v>-3.01</v>
      </c>
      <c r="AH172" s="1">
        <v>169.58099999999999</v>
      </c>
      <c r="AI172" s="1">
        <v>-2.3719999999999999</v>
      </c>
      <c r="AL172" s="1">
        <v>169.56100000000001</v>
      </c>
      <c r="AM172" s="1">
        <v>4.0259999999999998</v>
      </c>
      <c r="AO172" s="1">
        <v>169.58600000000001</v>
      </c>
      <c r="AP172" s="1">
        <v>-3.8384999999999998</v>
      </c>
      <c r="AR172" s="1">
        <v>169.49299999999999</v>
      </c>
      <c r="AS172" s="1">
        <v>-3.8895</v>
      </c>
    </row>
    <row r="173" spans="1:45" x14ac:dyDescent="0.2">
      <c r="A173" s="1">
        <v>170.71600000000001</v>
      </c>
      <c r="B173" s="1">
        <v>10.717499999999999</v>
      </c>
      <c r="D173" s="1">
        <v>170.613</v>
      </c>
      <c r="E173" s="1">
        <v>6.0730000000000004</v>
      </c>
      <c r="G173" s="1">
        <v>170.62</v>
      </c>
      <c r="H173" s="1">
        <v>4.9779999999999998</v>
      </c>
      <c r="J173" s="1">
        <v>170.51400000000001</v>
      </c>
      <c r="K173" s="1">
        <v>7.1589999999999998</v>
      </c>
      <c r="M173" s="1">
        <v>170.654</v>
      </c>
      <c r="N173" s="1">
        <v>-0.2175</v>
      </c>
      <c r="P173" s="1">
        <v>170.541</v>
      </c>
      <c r="Q173" s="1">
        <v>-0.90100000000000002</v>
      </c>
      <c r="S173" s="1">
        <v>170.49100000000001</v>
      </c>
      <c r="T173" s="1">
        <v>-0.96750000000000003</v>
      </c>
      <c r="V173" s="1">
        <v>170.54599999999999</v>
      </c>
      <c r="W173" s="1">
        <v>-0.89449999999999996</v>
      </c>
      <c r="Y173" s="1">
        <v>170.51900000000001</v>
      </c>
      <c r="Z173" s="1">
        <v>-0.34250000000000003</v>
      </c>
      <c r="AB173" s="1">
        <v>170.53899999999999</v>
      </c>
      <c r="AC173" s="1">
        <v>-3.6324999999999998</v>
      </c>
      <c r="AE173" s="1">
        <v>170.583</v>
      </c>
      <c r="AF173" s="1">
        <v>-3.0924999999999998</v>
      </c>
      <c r="AH173" s="1">
        <v>170.58500000000001</v>
      </c>
      <c r="AI173" s="1">
        <v>-2.375</v>
      </c>
      <c r="AL173" s="1">
        <v>170.566</v>
      </c>
      <c r="AM173" s="1">
        <v>3.9430000000000001</v>
      </c>
      <c r="AO173" s="1">
        <v>170.59</v>
      </c>
      <c r="AP173" s="1">
        <v>-3.8439999999999999</v>
      </c>
      <c r="AR173" s="1">
        <v>170.49799999999999</v>
      </c>
      <c r="AS173" s="1">
        <v>-3.9350000000000001</v>
      </c>
    </row>
    <row r="174" spans="1:45" x14ac:dyDescent="0.2">
      <c r="A174" s="1">
        <v>171.72300000000001</v>
      </c>
      <c r="B174" s="1">
        <v>10.653</v>
      </c>
      <c r="D174" s="1">
        <v>171.61799999999999</v>
      </c>
      <c r="E174" s="1">
        <v>5.9870000000000001</v>
      </c>
      <c r="G174" s="1">
        <v>171.626</v>
      </c>
      <c r="H174" s="1">
        <v>4.9055</v>
      </c>
      <c r="J174" s="1">
        <v>171.517</v>
      </c>
      <c r="K174" s="1">
        <v>7.0715000000000003</v>
      </c>
      <c r="M174" s="1">
        <v>171.65799999999999</v>
      </c>
      <c r="N174" s="1">
        <v>-0.29299999999999998</v>
      </c>
      <c r="P174" s="1">
        <v>171.54599999999999</v>
      </c>
      <c r="Q174" s="1">
        <v>-0.96</v>
      </c>
      <c r="S174" s="1">
        <v>171.49799999999999</v>
      </c>
      <c r="T174" s="1">
        <v>-1.036</v>
      </c>
      <c r="V174" s="1">
        <v>171.55099999999999</v>
      </c>
      <c r="W174" s="1">
        <v>-0.94450000000000001</v>
      </c>
      <c r="Y174" s="1">
        <v>171.523</v>
      </c>
      <c r="Z174" s="1">
        <v>-0.40649999999999997</v>
      </c>
      <c r="AB174" s="1">
        <v>171.54300000000001</v>
      </c>
      <c r="AC174" s="1">
        <v>-3.7229999999999999</v>
      </c>
      <c r="AE174" s="1">
        <v>171.589</v>
      </c>
      <c r="AF174" s="1">
        <v>-3.177</v>
      </c>
      <c r="AH174" s="1">
        <v>171.59</v>
      </c>
      <c r="AI174" s="1">
        <v>-2.383</v>
      </c>
      <c r="AL174" s="1">
        <v>171.57300000000001</v>
      </c>
      <c r="AM174" s="1">
        <v>3.8620000000000001</v>
      </c>
      <c r="AO174" s="1">
        <v>171.59800000000001</v>
      </c>
      <c r="AP174" s="1">
        <v>-3.8424999999999998</v>
      </c>
      <c r="AR174" s="1">
        <v>171.50399999999999</v>
      </c>
      <c r="AS174" s="1">
        <v>-3.97</v>
      </c>
    </row>
    <row r="175" spans="1:45" x14ac:dyDescent="0.2">
      <c r="A175" s="1">
        <v>172.73</v>
      </c>
      <c r="B175" s="1">
        <v>10.586499999999999</v>
      </c>
      <c r="D175" s="1">
        <v>172.62200000000001</v>
      </c>
      <c r="E175" s="1">
        <v>5.9</v>
      </c>
      <c r="G175" s="1">
        <v>172.631</v>
      </c>
      <c r="H175" s="1">
        <v>4.83</v>
      </c>
      <c r="J175" s="1">
        <v>172.52</v>
      </c>
      <c r="K175" s="1">
        <v>6.99</v>
      </c>
      <c r="M175" s="1">
        <v>172.66300000000001</v>
      </c>
      <c r="N175" s="1">
        <v>-0.35649999999999998</v>
      </c>
      <c r="P175" s="1">
        <v>172.55099999999999</v>
      </c>
      <c r="Q175" s="1">
        <v>-1.006</v>
      </c>
      <c r="S175" s="1">
        <v>172.50299999999999</v>
      </c>
      <c r="T175" s="1">
        <v>-1.099</v>
      </c>
      <c r="V175" s="1">
        <v>172.55799999999999</v>
      </c>
      <c r="W175" s="1">
        <v>-1.004</v>
      </c>
      <c r="Y175" s="1">
        <v>172.53</v>
      </c>
      <c r="Z175" s="1">
        <v>-0.47299999999999998</v>
      </c>
      <c r="AB175" s="1">
        <v>172.54900000000001</v>
      </c>
      <c r="AC175" s="1">
        <v>-3.81</v>
      </c>
      <c r="AE175" s="1">
        <v>172.59399999999999</v>
      </c>
      <c r="AF175" s="1">
        <v>-3.2574999999999998</v>
      </c>
      <c r="AH175" s="1">
        <v>172.595</v>
      </c>
      <c r="AI175" s="1">
        <v>-2.3809999999999998</v>
      </c>
      <c r="AL175" s="1">
        <v>172.57900000000001</v>
      </c>
      <c r="AM175" s="1">
        <v>3.7785000000000002</v>
      </c>
      <c r="AO175" s="1">
        <v>172.60400000000001</v>
      </c>
      <c r="AP175" s="1">
        <v>-3.8454999999999999</v>
      </c>
      <c r="AR175" s="1">
        <v>172.511</v>
      </c>
      <c r="AS175" s="1">
        <v>-3.9845000000000002</v>
      </c>
    </row>
    <row r="176" spans="1:45" x14ac:dyDescent="0.2">
      <c r="A176" s="1">
        <v>173.73599999999999</v>
      </c>
      <c r="B176" s="1">
        <v>10.521000000000001</v>
      </c>
      <c r="D176" s="1">
        <v>173.625</v>
      </c>
      <c r="E176" s="1">
        <v>5.8274999999999997</v>
      </c>
      <c r="G176" s="1">
        <v>173.63499999999999</v>
      </c>
      <c r="H176" s="1">
        <v>4.7595000000000001</v>
      </c>
      <c r="J176" s="1">
        <v>173.52600000000001</v>
      </c>
      <c r="K176" s="1">
        <v>6.9024999999999999</v>
      </c>
      <c r="M176" s="1">
        <v>173.667</v>
      </c>
      <c r="N176" s="1">
        <v>-0.437</v>
      </c>
      <c r="P176" s="1">
        <v>173.56100000000001</v>
      </c>
      <c r="Q176" s="1">
        <v>-1.0694999999999999</v>
      </c>
      <c r="S176" s="1">
        <v>173.50800000000001</v>
      </c>
      <c r="T176" s="1">
        <v>-1.1665000000000001</v>
      </c>
      <c r="V176" s="1">
        <v>173.565</v>
      </c>
      <c r="W176" s="1">
        <v>-1.048</v>
      </c>
      <c r="Y176" s="1">
        <v>173.53800000000001</v>
      </c>
      <c r="Z176" s="1">
        <v>-0.53400000000000003</v>
      </c>
      <c r="AB176" s="1">
        <v>173.554</v>
      </c>
      <c r="AC176" s="1">
        <v>-3.9020000000000001</v>
      </c>
      <c r="AE176" s="1">
        <v>173.59899999999999</v>
      </c>
      <c r="AF176" s="1">
        <v>-3.3435000000000001</v>
      </c>
      <c r="AH176" s="1">
        <v>173.602</v>
      </c>
      <c r="AI176" s="1">
        <v>-2.387</v>
      </c>
      <c r="AL176" s="1">
        <v>173.58500000000001</v>
      </c>
      <c r="AM176" s="1">
        <v>3.7035</v>
      </c>
      <c r="AO176" s="1">
        <v>173.613</v>
      </c>
      <c r="AP176" s="1">
        <v>-3.8454999999999999</v>
      </c>
      <c r="AR176" s="1">
        <v>173.517</v>
      </c>
      <c r="AS176" s="1">
        <v>-3.9860000000000002</v>
      </c>
    </row>
    <row r="177" spans="1:45" x14ac:dyDescent="0.2">
      <c r="A177" s="1">
        <v>174.74</v>
      </c>
      <c r="B177" s="1">
        <v>10.459</v>
      </c>
      <c r="D177" s="1">
        <v>174.63</v>
      </c>
      <c r="E177" s="1">
        <v>5.7489999999999997</v>
      </c>
      <c r="G177" s="1">
        <v>174.64099999999999</v>
      </c>
      <c r="H177" s="1">
        <v>4.6805000000000003</v>
      </c>
      <c r="J177" s="1">
        <v>174.53200000000001</v>
      </c>
      <c r="K177" s="1">
        <v>6.81</v>
      </c>
      <c r="M177" s="1">
        <v>174.672</v>
      </c>
      <c r="N177" s="1">
        <v>-0.51100000000000001</v>
      </c>
      <c r="P177" s="1">
        <v>174.57</v>
      </c>
      <c r="Q177" s="1">
        <v>-1.1200000000000001</v>
      </c>
      <c r="S177" s="1">
        <v>174.51300000000001</v>
      </c>
      <c r="T177" s="1">
        <v>-1.2324999999999999</v>
      </c>
      <c r="V177" s="1">
        <v>174.57400000000001</v>
      </c>
      <c r="W177" s="1">
        <v>-1.0965</v>
      </c>
      <c r="Y177" s="1">
        <v>174.54400000000001</v>
      </c>
      <c r="Z177" s="1">
        <v>-0.60399999999999998</v>
      </c>
      <c r="AB177" s="1">
        <v>174.56100000000001</v>
      </c>
      <c r="AC177" s="1">
        <v>-3.9929999999999999</v>
      </c>
      <c r="AE177" s="1">
        <v>174.613</v>
      </c>
      <c r="AF177" s="1">
        <v>-3.4304999999999999</v>
      </c>
      <c r="AH177" s="1">
        <v>174.60599999999999</v>
      </c>
      <c r="AI177" s="1">
        <v>-2.3815</v>
      </c>
      <c r="AL177" s="1">
        <v>174.589</v>
      </c>
      <c r="AM177" s="1">
        <v>3.62</v>
      </c>
      <c r="AO177" s="1">
        <v>174.62</v>
      </c>
      <c r="AP177" s="1">
        <v>-3.85</v>
      </c>
      <c r="AR177" s="1">
        <v>174.52500000000001</v>
      </c>
      <c r="AS177" s="1">
        <v>-3.9805000000000001</v>
      </c>
    </row>
    <row r="178" spans="1:45" x14ac:dyDescent="0.2">
      <c r="A178" s="1">
        <v>175.745</v>
      </c>
      <c r="B178" s="1">
        <v>10.39</v>
      </c>
      <c r="D178" s="1">
        <v>175.636</v>
      </c>
      <c r="E178" s="1">
        <v>5.6675000000000004</v>
      </c>
      <c r="G178" s="1">
        <v>175.648</v>
      </c>
      <c r="H178" s="1">
        <v>4.6174999999999997</v>
      </c>
      <c r="J178" s="1">
        <v>175.54</v>
      </c>
      <c r="K178" s="1">
        <v>6.7249999999999996</v>
      </c>
      <c r="M178" s="1">
        <v>175.678</v>
      </c>
      <c r="N178" s="1">
        <v>-0.57950000000000002</v>
      </c>
      <c r="P178" s="1">
        <v>175.57599999999999</v>
      </c>
      <c r="Q178" s="1">
        <v>-1.1805000000000001</v>
      </c>
      <c r="S178" s="1">
        <v>175.517</v>
      </c>
      <c r="T178" s="1">
        <v>-1.288</v>
      </c>
      <c r="V178" s="1">
        <v>175.57900000000001</v>
      </c>
      <c r="W178" s="1">
        <v>-1.1525000000000001</v>
      </c>
      <c r="Y178" s="1">
        <v>175.553</v>
      </c>
      <c r="Z178" s="1">
        <v>-0.67249999999999999</v>
      </c>
      <c r="AB178" s="1">
        <v>175.56899999999999</v>
      </c>
      <c r="AC178" s="1">
        <v>-4.0845000000000002</v>
      </c>
      <c r="AE178" s="1">
        <v>175.61799999999999</v>
      </c>
      <c r="AF178" s="1">
        <v>-3.5145</v>
      </c>
      <c r="AH178" s="1">
        <v>175.60900000000001</v>
      </c>
      <c r="AI178" s="1">
        <v>-2.3895</v>
      </c>
      <c r="AL178" s="1">
        <v>175.59700000000001</v>
      </c>
      <c r="AM178" s="1">
        <v>3.5325000000000002</v>
      </c>
      <c r="AO178" s="1">
        <v>175.626</v>
      </c>
      <c r="AP178" s="1">
        <v>-3.8490000000000002</v>
      </c>
      <c r="AR178" s="1">
        <v>175.53100000000001</v>
      </c>
      <c r="AS178" s="1">
        <v>-3.9649999999999999</v>
      </c>
    </row>
    <row r="179" spans="1:45" x14ac:dyDescent="0.2">
      <c r="A179" s="1">
        <v>176.749</v>
      </c>
      <c r="B179" s="1">
        <v>10.324</v>
      </c>
      <c r="D179" s="1">
        <v>176.643</v>
      </c>
      <c r="E179" s="1">
        <v>5.5834999999999999</v>
      </c>
      <c r="G179" s="1">
        <v>176.655</v>
      </c>
      <c r="H179" s="1">
        <v>4.5395000000000003</v>
      </c>
      <c r="J179" s="1">
        <v>176.54400000000001</v>
      </c>
      <c r="K179" s="1">
        <v>6.6334999999999997</v>
      </c>
      <c r="M179" s="1">
        <v>176.68199999999999</v>
      </c>
      <c r="N179" s="1">
        <v>-0.64049999999999996</v>
      </c>
      <c r="P179" s="1">
        <v>176.58099999999999</v>
      </c>
      <c r="Q179" s="1">
        <v>-1.2435</v>
      </c>
      <c r="S179" s="1">
        <v>176.52199999999999</v>
      </c>
      <c r="T179" s="1">
        <v>-1.3545</v>
      </c>
      <c r="V179" s="1">
        <v>176.583</v>
      </c>
      <c r="W179" s="1">
        <v>-1.2035</v>
      </c>
      <c r="Y179" s="1">
        <v>176.55799999999999</v>
      </c>
      <c r="Z179" s="1">
        <v>-0.74299999999999999</v>
      </c>
      <c r="AB179" s="1">
        <v>176.57300000000001</v>
      </c>
      <c r="AC179" s="1">
        <v>-4.181</v>
      </c>
      <c r="AE179" s="1">
        <v>176.626</v>
      </c>
      <c r="AF179" s="1">
        <v>-3.5960000000000001</v>
      </c>
      <c r="AH179" s="1">
        <v>176.614</v>
      </c>
      <c r="AI179" s="1">
        <v>-2.3955000000000002</v>
      </c>
      <c r="AL179" s="1">
        <v>176.60599999999999</v>
      </c>
      <c r="AM179" s="1">
        <v>3.4460000000000002</v>
      </c>
      <c r="AO179" s="1">
        <v>176.631</v>
      </c>
      <c r="AP179" s="1">
        <v>-3.8544999999999998</v>
      </c>
      <c r="AR179" s="1">
        <v>176.54</v>
      </c>
      <c r="AS179" s="1">
        <v>-3.9295</v>
      </c>
    </row>
    <row r="180" spans="1:45" x14ac:dyDescent="0.2">
      <c r="A180" s="1">
        <v>177.755</v>
      </c>
      <c r="B180" s="1">
        <v>10.253</v>
      </c>
      <c r="D180" s="1">
        <v>177.64699999999999</v>
      </c>
      <c r="E180" s="1">
        <v>5.5019999999999998</v>
      </c>
      <c r="G180" s="1">
        <v>177.661</v>
      </c>
      <c r="H180" s="1">
        <v>4.4705000000000004</v>
      </c>
      <c r="J180" s="1">
        <v>177.54900000000001</v>
      </c>
      <c r="K180" s="1">
        <v>6.5425000000000004</v>
      </c>
      <c r="M180" s="1">
        <v>177.68700000000001</v>
      </c>
      <c r="N180" s="1">
        <v>-0.70399999999999996</v>
      </c>
      <c r="P180" s="1">
        <v>177.584</v>
      </c>
      <c r="Q180" s="1">
        <v>-1.294</v>
      </c>
      <c r="S180" s="1">
        <v>177.52699999999999</v>
      </c>
      <c r="T180" s="1">
        <v>-1.423</v>
      </c>
      <c r="V180" s="1">
        <v>177.58799999999999</v>
      </c>
      <c r="W180" s="1">
        <v>-1.2524999999999999</v>
      </c>
      <c r="Y180" s="1">
        <v>177.56700000000001</v>
      </c>
      <c r="Z180" s="1">
        <v>-0.80100000000000005</v>
      </c>
      <c r="AB180" s="1">
        <v>177.57900000000001</v>
      </c>
      <c r="AC180" s="1">
        <v>-4.2619999999999996</v>
      </c>
      <c r="AE180" s="1">
        <v>177.63200000000001</v>
      </c>
      <c r="AF180" s="1">
        <v>-3.6865000000000001</v>
      </c>
      <c r="AH180" s="1">
        <v>177.62100000000001</v>
      </c>
      <c r="AI180" s="1">
        <v>-2.3944999999999999</v>
      </c>
      <c r="AL180" s="1">
        <v>177.614</v>
      </c>
      <c r="AM180" s="1">
        <v>3.3610000000000002</v>
      </c>
      <c r="AO180" s="1">
        <v>177.636</v>
      </c>
      <c r="AP180" s="1">
        <v>-3.8570000000000002</v>
      </c>
      <c r="AR180" s="1">
        <v>177.55</v>
      </c>
      <c r="AS180" s="1">
        <v>-3.8915000000000002</v>
      </c>
    </row>
    <row r="181" spans="1:45" x14ac:dyDescent="0.2">
      <c r="A181" s="1">
        <v>178.76</v>
      </c>
      <c r="B181" s="1">
        <v>10.19</v>
      </c>
      <c r="D181" s="1">
        <v>178.65199999999999</v>
      </c>
      <c r="E181" s="1">
        <v>5.4104999999999999</v>
      </c>
      <c r="G181" s="1">
        <v>178.66499999999999</v>
      </c>
      <c r="H181" s="1">
        <v>4.3914999999999997</v>
      </c>
      <c r="J181" s="1">
        <v>178.55600000000001</v>
      </c>
      <c r="K181" s="1">
        <v>6.4560000000000004</v>
      </c>
      <c r="M181" s="1">
        <v>178.69499999999999</v>
      </c>
      <c r="N181" s="1">
        <v>-0.76700000000000002</v>
      </c>
      <c r="P181" s="1">
        <v>178.59</v>
      </c>
      <c r="Q181" s="1">
        <v>-1.351</v>
      </c>
      <c r="S181" s="1">
        <v>178.53200000000001</v>
      </c>
      <c r="T181" s="1">
        <v>-1.4890000000000001</v>
      </c>
      <c r="V181" s="1">
        <v>178.595</v>
      </c>
      <c r="W181" s="1">
        <v>-1.2929999999999999</v>
      </c>
      <c r="Y181" s="1">
        <v>178.57499999999999</v>
      </c>
      <c r="Z181" s="1">
        <v>-0.86199999999999999</v>
      </c>
      <c r="AB181" s="1">
        <v>178.584</v>
      </c>
      <c r="AC181" s="1">
        <v>-4.3514999999999997</v>
      </c>
      <c r="AE181" s="1">
        <v>178.63900000000001</v>
      </c>
      <c r="AF181" s="1">
        <v>-3.7690000000000001</v>
      </c>
      <c r="AH181" s="1">
        <v>178.625</v>
      </c>
      <c r="AI181" s="1">
        <v>-2.3929999999999998</v>
      </c>
      <c r="AL181" s="1">
        <v>178.619</v>
      </c>
      <c r="AM181" s="1">
        <v>3.2730000000000001</v>
      </c>
      <c r="AO181" s="1">
        <v>178.642</v>
      </c>
      <c r="AP181" s="1">
        <v>-3.8610000000000002</v>
      </c>
      <c r="AR181" s="1">
        <v>178.55799999999999</v>
      </c>
      <c r="AS181" s="1">
        <v>-3.8595000000000002</v>
      </c>
    </row>
    <row r="182" spans="1:45" x14ac:dyDescent="0.2">
      <c r="A182" s="1">
        <v>179.767</v>
      </c>
      <c r="B182" s="1">
        <v>10.125500000000001</v>
      </c>
      <c r="D182" s="1">
        <v>179.65799999999999</v>
      </c>
      <c r="E182" s="1">
        <v>5.3280000000000003</v>
      </c>
      <c r="G182" s="1">
        <v>179.67</v>
      </c>
      <c r="H182" s="1">
        <v>4.3155000000000001</v>
      </c>
      <c r="J182" s="1">
        <v>179.56200000000001</v>
      </c>
      <c r="K182" s="1">
        <v>6.3650000000000002</v>
      </c>
      <c r="M182" s="1">
        <v>179.702</v>
      </c>
      <c r="N182" s="1">
        <v>-0.83450000000000002</v>
      </c>
      <c r="P182" s="1">
        <v>179.595</v>
      </c>
      <c r="Q182" s="1">
        <v>-1.407</v>
      </c>
      <c r="S182" s="1">
        <v>179.536</v>
      </c>
      <c r="T182" s="1">
        <v>-1.548</v>
      </c>
      <c r="V182" s="1">
        <v>179.60300000000001</v>
      </c>
      <c r="W182" s="1">
        <v>-1.3380000000000001</v>
      </c>
      <c r="Y182" s="1">
        <v>179.58199999999999</v>
      </c>
      <c r="Z182" s="1">
        <v>-0.92600000000000005</v>
      </c>
      <c r="AB182" s="1">
        <v>179.59</v>
      </c>
      <c r="AC182" s="1">
        <v>-4.4284999999999997</v>
      </c>
      <c r="AE182" s="1">
        <v>179.64699999999999</v>
      </c>
      <c r="AF182" s="1">
        <v>-3.855</v>
      </c>
      <c r="AH182" s="1">
        <v>179.631</v>
      </c>
      <c r="AI182" s="1">
        <v>-2.391</v>
      </c>
      <c r="AL182" s="1">
        <v>179.625</v>
      </c>
      <c r="AM182" s="1">
        <v>3.1890000000000001</v>
      </c>
      <c r="AO182" s="1">
        <v>179.648</v>
      </c>
      <c r="AP182" s="1">
        <v>-3.859</v>
      </c>
      <c r="AR182" s="1">
        <v>179.56299999999999</v>
      </c>
      <c r="AS182" s="1">
        <v>-3.8210000000000002</v>
      </c>
    </row>
    <row r="183" spans="1:45" x14ac:dyDescent="0.2">
      <c r="A183" s="1">
        <v>180.774</v>
      </c>
      <c r="B183" s="1">
        <v>10.061500000000001</v>
      </c>
      <c r="D183" s="1">
        <v>180.66399999999999</v>
      </c>
      <c r="E183" s="1">
        <v>5.2439999999999998</v>
      </c>
      <c r="G183" s="1">
        <v>180.67400000000001</v>
      </c>
      <c r="H183" s="1">
        <v>4.2370000000000001</v>
      </c>
      <c r="J183" s="1">
        <v>180.56899999999999</v>
      </c>
      <c r="K183" s="1">
        <v>6.2634999999999996</v>
      </c>
      <c r="M183" s="1">
        <v>180.709</v>
      </c>
      <c r="N183" s="1">
        <v>-0.89600000000000002</v>
      </c>
      <c r="P183" s="1">
        <v>180.6</v>
      </c>
      <c r="Q183" s="1">
        <v>-1.4555</v>
      </c>
      <c r="S183" s="1">
        <v>180.548</v>
      </c>
      <c r="T183" s="1">
        <v>-1.6040000000000001</v>
      </c>
      <c r="V183" s="1">
        <v>180.607</v>
      </c>
      <c r="W183" s="1">
        <v>-1.379</v>
      </c>
      <c r="Y183" s="1">
        <v>180.589</v>
      </c>
      <c r="Z183" s="1">
        <v>-0.97799999999999998</v>
      </c>
      <c r="AB183" s="1">
        <v>180.59399999999999</v>
      </c>
      <c r="AC183" s="1">
        <v>-4.5129999999999999</v>
      </c>
      <c r="AE183" s="1">
        <v>180.654</v>
      </c>
      <c r="AF183" s="1">
        <v>-3.9255</v>
      </c>
      <c r="AH183" s="1">
        <v>180.636</v>
      </c>
      <c r="AI183" s="1">
        <v>-2.391</v>
      </c>
      <c r="AL183" s="1">
        <v>180.63200000000001</v>
      </c>
      <c r="AM183" s="1">
        <v>3.1114999999999999</v>
      </c>
      <c r="AO183" s="1">
        <v>180.65199999999999</v>
      </c>
      <c r="AP183" s="1">
        <v>-3.8664999999999998</v>
      </c>
      <c r="AR183" s="1">
        <v>180.56800000000001</v>
      </c>
      <c r="AS183" s="1">
        <v>-3.7829999999999999</v>
      </c>
    </row>
    <row r="184" spans="1:45" x14ac:dyDescent="0.2">
      <c r="A184" s="1">
        <v>181.78</v>
      </c>
      <c r="B184" s="1">
        <v>9.9964999999999993</v>
      </c>
      <c r="D184" s="1">
        <v>181.667</v>
      </c>
      <c r="E184" s="1">
        <v>5.165</v>
      </c>
      <c r="G184" s="1">
        <v>181.679</v>
      </c>
      <c r="H184" s="1">
        <v>4.1619999999999999</v>
      </c>
      <c r="J184" s="1">
        <v>181.57499999999999</v>
      </c>
      <c r="K184" s="1">
        <v>6.1820000000000004</v>
      </c>
      <c r="M184" s="1">
        <v>181.71700000000001</v>
      </c>
      <c r="N184" s="1">
        <v>-0.96550000000000002</v>
      </c>
      <c r="P184" s="1">
        <v>181.60400000000001</v>
      </c>
      <c r="Q184" s="1">
        <v>-1.5169999999999999</v>
      </c>
      <c r="S184" s="1">
        <v>181.553</v>
      </c>
      <c r="T184" s="1">
        <v>-1.6705000000000001</v>
      </c>
      <c r="V184" s="1">
        <v>181.61199999999999</v>
      </c>
      <c r="W184" s="1">
        <v>-1.4175</v>
      </c>
      <c r="Y184" s="1">
        <v>181.59200000000001</v>
      </c>
      <c r="Z184" s="1">
        <v>-1.0289999999999999</v>
      </c>
      <c r="AB184" s="1">
        <v>181.602</v>
      </c>
      <c r="AC184" s="1">
        <v>-4.6085000000000003</v>
      </c>
      <c r="AE184" s="1">
        <v>181.66</v>
      </c>
      <c r="AF184" s="1">
        <v>-3.9889999999999999</v>
      </c>
      <c r="AH184" s="1">
        <v>181.64400000000001</v>
      </c>
      <c r="AI184" s="1">
        <v>-2.3940000000000001</v>
      </c>
      <c r="AL184" s="1">
        <v>181.64099999999999</v>
      </c>
      <c r="AM184" s="1">
        <v>3.0289999999999999</v>
      </c>
      <c r="AR184" s="1">
        <v>181.57400000000001</v>
      </c>
      <c r="AS184" s="1">
        <v>-3.75</v>
      </c>
    </row>
    <row r="185" spans="1:45" x14ac:dyDescent="0.2">
      <c r="A185" s="1">
        <v>182.786</v>
      </c>
      <c r="B185" s="1">
        <v>9.9405000000000001</v>
      </c>
      <c r="D185" s="1">
        <v>182.67599999999999</v>
      </c>
      <c r="E185" s="1">
        <v>5.0860000000000003</v>
      </c>
      <c r="G185" s="1">
        <v>182.68799999999999</v>
      </c>
      <c r="H185" s="1">
        <v>4.0869999999999997</v>
      </c>
      <c r="J185" s="1">
        <v>182.58099999999999</v>
      </c>
      <c r="K185" s="1">
        <v>6.1085000000000003</v>
      </c>
      <c r="M185" s="1">
        <v>182.72200000000001</v>
      </c>
      <c r="N185" s="1">
        <v>-1.0309999999999999</v>
      </c>
      <c r="P185" s="1">
        <v>182.61099999999999</v>
      </c>
      <c r="Q185" s="1">
        <v>-1.5620000000000001</v>
      </c>
      <c r="S185" s="1">
        <v>182.55699999999999</v>
      </c>
      <c r="T185" s="1">
        <v>-1.7250000000000001</v>
      </c>
      <c r="V185" s="1">
        <v>182.62</v>
      </c>
      <c r="W185" s="1">
        <v>-1.458</v>
      </c>
      <c r="Y185" s="1">
        <v>182.59700000000001</v>
      </c>
      <c r="Z185" s="1">
        <v>-1.08</v>
      </c>
      <c r="AB185" s="1">
        <v>182.60900000000001</v>
      </c>
      <c r="AC185" s="1">
        <v>-4.6909999999999998</v>
      </c>
      <c r="AE185" s="1">
        <v>182.666</v>
      </c>
      <c r="AF185" s="1">
        <v>-4.0759999999999996</v>
      </c>
      <c r="AH185" s="1">
        <v>182.65299999999999</v>
      </c>
      <c r="AI185" s="1">
        <v>-2.4009999999999998</v>
      </c>
      <c r="AL185" s="1">
        <v>182.65199999999999</v>
      </c>
      <c r="AM185" s="1">
        <v>2.9489999999999998</v>
      </c>
      <c r="AR185" s="1">
        <v>182.57900000000001</v>
      </c>
      <c r="AS185" s="1">
        <v>-3.7254999999999998</v>
      </c>
    </row>
    <row r="186" spans="1:45" x14ac:dyDescent="0.2">
      <c r="A186" s="1">
        <v>183.79400000000001</v>
      </c>
      <c r="B186" s="1">
        <v>9.8740000000000006</v>
      </c>
      <c r="D186" s="1">
        <v>183.68299999999999</v>
      </c>
      <c r="E186" s="1">
        <v>4.9969999999999999</v>
      </c>
      <c r="G186" s="1">
        <v>183.69499999999999</v>
      </c>
      <c r="H186" s="1">
        <v>4.0140000000000002</v>
      </c>
      <c r="J186" s="1">
        <v>183.58699999999999</v>
      </c>
      <c r="K186" s="1">
        <v>6.0190000000000001</v>
      </c>
      <c r="M186" s="1">
        <v>183.726</v>
      </c>
      <c r="N186" s="1">
        <v>-1.091</v>
      </c>
      <c r="P186" s="1">
        <v>183.61600000000001</v>
      </c>
      <c r="Q186" s="1">
        <v>-1.637</v>
      </c>
      <c r="S186" s="1">
        <v>183.56299999999999</v>
      </c>
      <c r="T186" s="1">
        <v>-1.7785</v>
      </c>
      <c r="V186" s="1">
        <v>183.625</v>
      </c>
      <c r="W186" s="1">
        <v>-1.494</v>
      </c>
      <c r="Y186" s="1">
        <v>183.60300000000001</v>
      </c>
      <c r="Z186" s="1">
        <v>-1.1365000000000001</v>
      </c>
      <c r="AB186" s="1">
        <v>183.613</v>
      </c>
      <c r="AC186" s="1">
        <v>-4.7789999999999999</v>
      </c>
      <c r="AE186" s="1">
        <v>183.672</v>
      </c>
      <c r="AF186" s="1">
        <v>-4.1115000000000004</v>
      </c>
      <c r="AH186" s="1">
        <v>183.661</v>
      </c>
      <c r="AI186" s="1">
        <v>-2.403</v>
      </c>
      <c r="AL186" s="1">
        <v>183.65899999999999</v>
      </c>
      <c r="AM186" s="1">
        <v>2.8679999999999999</v>
      </c>
      <c r="AR186" s="1">
        <v>183.58699999999999</v>
      </c>
      <c r="AS186" s="1">
        <v>-3.7120000000000002</v>
      </c>
    </row>
    <row r="187" spans="1:45" x14ac:dyDescent="0.2">
      <c r="A187" s="1">
        <v>184.79900000000001</v>
      </c>
      <c r="B187" s="1">
        <v>9.8070000000000004</v>
      </c>
      <c r="D187" s="1">
        <v>184.68700000000001</v>
      </c>
      <c r="E187" s="1">
        <v>4.9260000000000002</v>
      </c>
      <c r="G187" s="1">
        <v>184.69900000000001</v>
      </c>
      <c r="H187" s="1">
        <v>3.9434999999999998</v>
      </c>
      <c r="J187" s="1">
        <v>184.59299999999999</v>
      </c>
      <c r="K187" s="1">
        <v>5.9379999999999997</v>
      </c>
      <c r="M187" s="1">
        <v>184.73099999999999</v>
      </c>
      <c r="N187" s="1">
        <v>-1.1735</v>
      </c>
      <c r="P187" s="1">
        <v>184.62200000000001</v>
      </c>
      <c r="Q187" s="1">
        <v>-1.696</v>
      </c>
      <c r="S187" s="1">
        <v>184.572</v>
      </c>
      <c r="T187" s="1">
        <v>-1.83</v>
      </c>
      <c r="V187" s="1">
        <v>184.62899999999999</v>
      </c>
      <c r="W187" s="1">
        <v>-1.5305</v>
      </c>
      <c r="Y187" s="1">
        <v>184.61099999999999</v>
      </c>
      <c r="Z187" s="1">
        <v>-1.1879999999999999</v>
      </c>
      <c r="AB187" s="1">
        <v>184.619</v>
      </c>
      <c r="AC187" s="1">
        <v>-4.8719999999999999</v>
      </c>
      <c r="AE187" s="1">
        <v>184.678</v>
      </c>
      <c r="AF187" s="1">
        <v>-4.0225</v>
      </c>
      <c r="AH187" s="1">
        <v>184.66900000000001</v>
      </c>
      <c r="AI187" s="1">
        <v>-2.4045000000000001</v>
      </c>
      <c r="AL187" s="1">
        <v>184.66499999999999</v>
      </c>
      <c r="AM187" s="1">
        <v>2.7839999999999998</v>
      </c>
      <c r="AR187" s="1">
        <v>184.595</v>
      </c>
      <c r="AS187" s="1">
        <v>-3.7014999999999998</v>
      </c>
    </row>
    <row r="188" spans="1:45" x14ac:dyDescent="0.2">
      <c r="A188" s="1">
        <v>185.80600000000001</v>
      </c>
      <c r="B188" s="1">
        <v>9.7394999999999996</v>
      </c>
      <c r="D188" s="1">
        <v>185.69300000000001</v>
      </c>
      <c r="E188" s="1">
        <v>4.8334999999999999</v>
      </c>
      <c r="G188" s="1">
        <v>185.703</v>
      </c>
      <c r="H188" s="1">
        <v>3.8565</v>
      </c>
      <c r="J188" s="1">
        <v>185.6</v>
      </c>
      <c r="K188" s="1">
        <v>5.8494999999999999</v>
      </c>
      <c r="M188" s="1">
        <v>185.739</v>
      </c>
      <c r="N188" s="1">
        <v>-1.236</v>
      </c>
      <c r="P188" s="1">
        <v>185.62799999999999</v>
      </c>
      <c r="Q188" s="1">
        <v>-1.762</v>
      </c>
      <c r="S188" s="1">
        <v>185.578</v>
      </c>
      <c r="T188" s="1">
        <v>-1.8895</v>
      </c>
      <c r="V188" s="1">
        <v>185.63399999999999</v>
      </c>
      <c r="W188" s="1">
        <v>-1.5565</v>
      </c>
      <c r="Y188" s="1">
        <v>185.61799999999999</v>
      </c>
      <c r="Z188" s="1">
        <v>-1.2430000000000001</v>
      </c>
      <c r="AB188" s="1">
        <v>185.62299999999999</v>
      </c>
      <c r="AC188" s="1">
        <v>-4.9509999999999996</v>
      </c>
      <c r="AE188" s="1">
        <v>185.68199999999999</v>
      </c>
      <c r="AF188" s="1">
        <v>-3.7690000000000001</v>
      </c>
      <c r="AH188" s="1">
        <v>185.67400000000001</v>
      </c>
      <c r="AI188" s="1">
        <v>-2.403</v>
      </c>
      <c r="AL188" s="1">
        <v>185.66800000000001</v>
      </c>
      <c r="AM188" s="1">
        <v>2.7155</v>
      </c>
      <c r="AR188" s="1">
        <v>185.602</v>
      </c>
      <c r="AS188" s="1">
        <v>-3.6850000000000001</v>
      </c>
    </row>
    <row r="189" spans="1:45" x14ac:dyDescent="0.2">
      <c r="A189" s="1">
        <v>186.81200000000001</v>
      </c>
      <c r="B189" s="1">
        <v>9.6709999999999994</v>
      </c>
      <c r="D189" s="1">
        <v>186.70099999999999</v>
      </c>
      <c r="E189" s="1">
        <v>4.7519999999999998</v>
      </c>
      <c r="G189" s="1">
        <v>186.71</v>
      </c>
      <c r="H189" s="1">
        <v>3.7909999999999999</v>
      </c>
      <c r="J189" s="1">
        <v>186.60400000000001</v>
      </c>
      <c r="K189" s="1">
        <v>5.7595000000000001</v>
      </c>
      <c r="M189" s="1">
        <v>186.74600000000001</v>
      </c>
      <c r="N189" s="1">
        <v>-1.3125</v>
      </c>
      <c r="P189" s="1">
        <v>186.63499999999999</v>
      </c>
      <c r="Q189" s="1">
        <v>-1.8109999999999999</v>
      </c>
      <c r="S189" s="1">
        <v>186.584</v>
      </c>
      <c r="T189" s="1">
        <v>-1.9239999999999999</v>
      </c>
      <c r="V189" s="1">
        <v>186.64</v>
      </c>
      <c r="W189" s="1">
        <v>-1.5880000000000001</v>
      </c>
      <c r="Y189" s="1">
        <v>186.624</v>
      </c>
      <c r="Z189" s="1">
        <v>-1.2915000000000001</v>
      </c>
      <c r="AB189" s="1">
        <v>186.62799999999999</v>
      </c>
      <c r="AC189" s="1">
        <v>-5.0374999999999996</v>
      </c>
      <c r="AE189" s="1">
        <v>186.68899999999999</v>
      </c>
      <c r="AF189" s="1">
        <v>-3.4649999999999999</v>
      </c>
      <c r="AH189" s="1">
        <v>186.68100000000001</v>
      </c>
      <c r="AI189" s="1">
        <v>-2.4024999999999999</v>
      </c>
      <c r="AL189" s="1">
        <v>186.67500000000001</v>
      </c>
      <c r="AM189" s="1">
        <v>2.6320000000000001</v>
      </c>
      <c r="AR189" s="1">
        <v>186.608</v>
      </c>
      <c r="AS189" s="1">
        <v>-3.6795</v>
      </c>
    </row>
    <row r="190" spans="1:45" x14ac:dyDescent="0.2">
      <c r="A190" s="1">
        <v>187.815</v>
      </c>
      <c r="B190" s="1">
        <v>9.6140000000000008</v>
      </c>
      <c r="D190" s="1">
        <v>187.71</v>
      </c>
      <c r="E190" s="1">
        <v>4.6669999999999998</v>
      </c>
      <c r="G190" s="1">
        <v>187.71600000000001</v>
      </c>
      <c r="H190" s="1">
        <v>3.7160000000000002</v>
      </c>
      <c r="J190" s="1">
        <v>187.61099999999999</v>
      </c>
      <c r="K190" s="1">
        <v>5.67</v>
      </c>
      <c r="M190" s="1">
        <v>187.75</v>
      </c>
      <c r="N190" s="1">
        <v>-1.379</v>
      </c>
      <c r="P190" s="1">
        <v>187.64099999999999</v>
      </c>
      <c r="Q190" s="1">
        <v>-1.8725000000000001</v>
      </c>
      <c r="S190" s="1">
        <v>187.58799999999999</v>
      </c>
      <c r="T190" s="1">
        <v>-1.9555</v>
      </c>
      <c r="V190" s="1">
        <v>187.64400000000001</v>
      </c>
      <c r="W190" s="1">
        <v>-1.63</v>
      </c>
      <c r="Y190" s="1">
        <v>187.63</v>
      </c>
      <c r="Z190" s="1">
        <v>-1.3374999999999999</v>
      </c>
      <c r="AB190" s="1">
        <v>187.63300000000001</v>
      </c>
      <c r="AC190" s="1">
        <v>-5.125</v>
      </c>
      <c r="AE190" s="1">
        <v>187.69399999999999</v>
      </c>
      <c r="AF190" s="1">
        <v>-3.2250000000000001</v>
      </c>
      <c r="AH190" s="1">
        <v>187.685</v>
      </c>
      <c r="AI190" s="1">
        <v>-2.4195000000000002</v>
      </c>
      <c r="AL190" s="1">
        <v>187.68</v>
      </c>
      <c r="AM190" s="1">
        <v>2.5449999999999999</v>
      </c>
      <c r="AR190" s="1">
        <v>187.613</v>
      </c>
      <c r="AS190" s="1">
        <v>-3.6655000000000002</v>
      </c>
    </row>
    <row r="191" spans="1:45" x14ac:dyDescent="0.2">
      <c r="A191" s="1">
        <v>188.82</v>
      </c>
      <c r="B191" s="1">
        <v>9.5530000000000008</v>
      </c>
      <c r="D191" s="1">
        <v>188.71600000000001</v>
      </c>
      <c r="E191" s="1">
        <v>4.5865</v>
      </c>
      <c r="G191" s="1">
        <v>188.72399999999999</v>
      </c>
      <c r="H191" s="1">
        <v>3.6465000000000001</v>
      </c>
      <c r="J191" s="1">
        <v>188.61699999999999</v>
      </c>
      <c r="K191" s="1">
        <v>5.58</v>
      </c>
      <c r="M191" s="1">
        <v>188.75700000000001</v>
      </c>
      <c r="N191" s="1">
        <v>-1.4490000000000001</v>
      </c>
      <c r="P191" s="1">
        <v>188.64699999999999</v>
      </c>
      <c r="Q191" s="1">
        <v>-1.92</v>
      </c>
      <c r="S191" s="1">
        <v>188.59100000000001</v>
      </c>
      <c r="T191" s="1">
        <v>-1.984</v>
      </c>
      <c r="V191" s="1">
        <v>188.648</v>
      </c>
      <c r="W191" s="1">
        <v>-1.6539999999999999</v>
      </c>
      <c r="Y191" s="1">
        <v>188.63300000000001</v>
      </c>
      <c r="Z191" s="1">
        <v>-1.377</v>
      </c>
      <c r="AB191" s="1">
        <v>188.64099999999999</v>
      </c>
      <c r="AC191" s="1">
        <v>-5.2110000000000003</v>
      </c>
      <c r="AE191" s="1">
        <v>188.70099999999999</v>
      </c>
      <c r="AF191" s="1">
        <v>-3.0459999999999998</v>
      </c>
      <c r="AH191" s="1">
        <v>188.69</v>
      </c>
      <c r="AI191" s="1">
        <v>-2.4180000000000001</v>
      </c>
      <c r="AL191" s="1">
        <v>188.68600000000001</v>
      </c>
      <c r="AM191" s="1">
        <v>2.4590000000000001</v>
      </c>
      <c r="AR191" s="1">
        <v>188.61799999999999</v>
      </c>
      <c r="AS191" s="1">
        <v>-3.6669999999999998</v>
      </c>
    </row>
    <row r="192" spans="1:45" x14ac:dyDescent="0.2">
      <c r="A192" s="1">
        <v>189.827</v>
      </c>
      <c r="B192" s="1">
        <v>9.49</v>
      </c>
      <c r="D192" s="1">
        <v>189.72200000000001</v>
      </c>
      <c r="E192" s="1">
        <v>4.5060000000000002</v>
      </c>
      <c r="G192" s="1">
        <v>189.73</v>
      </c>
      <c r="H192" s="1">
        <v>3.5739999999999998</v>
      </c>
      <c r="J192" s="1">
        <v>189.62299999999999</v>
      </c>
      <c r="K192" s="1">
        <v>5.4969999999999999</v>
      </c>
      <c r="M192" s="1">
        <v>189.762</v>
      </c>
      <c r="N192" s="1">
        <v>-1.52</v>
      </c>
      <c r="P192" s="1">
        <v>189.65199999999999</v>
      </c>
      <c r="Q192" s="1">
        <v>-1.978</v>
      </c>
      <c r="S192" s="1">
        <v>189.59399999999999</v>
      </c>
      <c r="T192" s="1">
        <v>-1.992</v>
      </c>
      <c r="V192" s="1">
        <v>189.654</v>
      </c>
      <c r="W192" s="1">
        <v>-1.6775</v>
      </c>
      <c r="Y192" s="1">
        <v>189.63900000000001</v>
      </c>
      <c r="Z192" s="1">
        <v>-1.4179999999999999</v>
      </c>
      <c r="AB192" s="1">
        <v>189.649</v>
      </c>
      <c r="AC192" s="1">
        <v>-5.1680000000000001</v>
      </c>
      <c r="AE192" s="1">
        <v>189.70699999999999</v>
      </c>
      <c r="AF192" s="1">
        <v>-2.9075000000000002</v>
      </c>
      <c r="AH192" s="1">
        <v>189.696</v>
      </c>
      <c r="AI192" s="1">
        <v>-2.4260000000000002</v>
      </c>
      <c r="AL192" s="1">
        <v>189.69200000000001</v>
      </c>
      <c r="AM192" s="1">
        <v>2.3904999999999998</v>
      </c>
      <c r="AR192" s="1">
        <v>189.624</v>
      </c>
      <c r="AS192" s="1">
        <v>-3.6675</v>
      </c>
    </row>
    <row r="193" spans="1:45" x14ac:dyDescent="0.2">
      <c r="A193" s="1">
        <v>190.833</v>
      </c>
      <c r="B193" s="1">
        <v>9.4239999999999995</v>
      </c>
      <c r="D193" s="1">
        <v>190.73</v>
      </c>
      <c r="E193" s="1">
        <v>4.4320000000000004</v>
      </c>
      <c r="G193" s="1">
        <v>190.73500000000001</v>
      </c>
      <c r="H193" s="1">
        <v>3.4870000000000001</v>
      </c>
      <c r="J193" s="1">
        <v>190.63</v>
      </c>
      <c r="K193" s="1">
        <v>5.4175000000000004</v>
      </c>
      <c r="M193" s="1">
        <v>190.768</v>
      </c>
      <c r="N193" s="1">
        <v>-1.5834999999999999</v>
      </c>
      <c r="P193" s="1">
        <v>190.65700000000001</v>
      </c>
      <c r="Q193" s="1">
        <v>-2.0350000000000001</v>
      </c>
      <c r="S193" s="1">
        <v>190.59700000000001</v>
      </c>
      <c r="T193" s="1">
        <v>-1.976</v>
      </c>
      <c r="V193" s="1">
        <v>190.65899999999999</v>
      </c>
      <c r="W193" s="1">
        <v>-1.7090000000000001</v>
      </c>
      <c r="Y193" s="1">
        <v>190.643</v>
      </c>
      <c r="Z193" s="1">
        <v>-1.4544999999999999</v>
      </c>
      <c r="AB193" s="1">
        <v>190.65299999999999</v>
      </c>
      <c r="AC193" s="1">
        <v>-4.6814999999999998</v>
      </c>
      <c r="AE193" s="1">
        <v>190.71299999999999</v>
      </c>
      <c r="AF193" s="1">
        <v>-2.8079999999999998</v>
      </c>
      <c r="AH193" s="1">
        <v>190.7</v>
      </c>
      <c r="AI193" s="1">
        <v>-2.4300000000000002</v>
      </c>
      <c r="AL193" s="1">
        <v>190.69499999999999</v>
      </c>
      <c r="AM193" s="1">
        <v>2.3010000000000002</v>
      </c>
      <c r="AR193" s="1">
        <v>190.62799999999999</v>
      </c>
      <c r="AS193" s="1">
        <v>-3.6560000000000001</v>
      </c>
    </row>
    <row r="194" spans="1:45" x14ac:dyDescent="0.2">
      <c r="A194" s="1">
        <v>191.839</v>
      </c>
      <c r="B194" s="1">
        <v>9.3610000000000007</v>
      </c>
      <c r="D194" s="1">
        <v>191.738</v>
      </c>
      <c r="E194" s="1">
        <v>4.3395000000000001</v>
      </c>
      <c r="G194" s="1">
        <v>191.739</v>
      </c>
      <c r="H194" s="1">
        <v>3.42</v>
      </c>
      <c r="J194" s="1">
        <v>191.63499999999999</v>
      </c>
      <c r="K194" s="1">
        <v>5.3315000000000001</v>
      </c>
      <c r="M194" s="1">
        <v>191.774</v>
      </c>
      <c r="N194" s="1">
        <v>-1.6535</v>
      </c>
      <c r="P194" s="1">
        <v>191.66499999999999</v>
      </c>
      <c r="Q194" s="1">
        <v>-2.0819999999999999</v>
      </c>
      <c r="S194" s="1">
        <v>191.602</v>
      </c>
      <c r="T194" s="1">
        <v>-1.954</v>
      </c>
      <c r="V194" s="1">
        <v>191.66399999999999</v>
      </c>
      <c r="W194" s="1">
        <v>-1.7244999999999999</v>
      </c>
      <c r="Y194" s="1">
        <v>191.648</v>
      </c>
      <c r="Z194" s="1">
        <v>-1.494</v>
      </c>
      <c r="AB194" s="1">
        <v>191.65899999999999</v>
      </c>
      <c r="AC194" s="1">
        <v>-4.1470000000000002</v>
      </c>
      <c r="AE194" s="1">
        <v>191.71799999999999</v>
      </c>
      <c r="AF194" s="1">
        <v>-2.7290000000000001</v>
      </c>
      <c r="AH194" s="1">
        <v>191.70400000000001</v>
      </c>
      <c r="AI194" s="1">
        <v>-2.4275000000000002</v>
      </c>
      <c r="AL194" s="1">
        <v>191.703</v>
      </c>
      <c r="AM194" s="1">
        <v>2.2225000000000001</v>
      </c>
      <c r="AR194" s="1">
        <v>191.63200000000001</v>
      </c>
      <c r="AS194" s="1">
        <v>-3.6545000000000001</v>
      </c>
    </row>
    <row r="195" spans="1:45" x14ac:dyDescent="0.2">
      <c r="A195" s="1">
        <v>192.84399999999999</v>
      </c>
      <c r="B195" s="1">
        <v>9.2985000000000007</v>
      </c>
      <c r="D195" s="1">
        <v>192.744</v>
      </c>
      <c r="E195" s="1">
        <v>4.2614999999999998</v>
      </c>
      <c r="G195" s="1">
        <v>192.744</v>
      </c>
      <c r="H195" s="1">
        <v>3.3450000000000002</v>
      </c>
      <c r="J195" s="1">
        <v>192.64099999999999</v>
      </c>
      <c r="K195" s="1">
        <v>5.2314999999999996</v>
      </c>
      <c r="M195" s="1">
        <v>192.77799999999999</v>
      </c>
      <c r="N195" s="1">
        <v>-1.7255</v>
      </c>
      <c r="P195" s="1">
        <v>192.66900000000001</v>
      </c>
      <c r="Q195" s="1">
        <v>-2.141</v>
      </c>
      <c r="S195" s="1">
        <v>192.608</v>
      </c>
      <c r="T195" s="1">
        <v>-1.9125000000000001</v>
      </c>
      <c r="V195" s="1">
        <v>192.66800000000001</v>
      </c>
      <c r="W195" s="1">
        <v>-1.736</v>
      </c>
      <c r="Y195" s="1">
        <v>192.654</v>
      </c>
      <c r="Z195" s="1">
        <v>-1.5255000000000001</v>
      </c>
      <c r="AB195" s="1">
        <v>192.66300000000001</v>
      </c>
      <c r="AC195" s="1">
        <v>-3.7475000000000001</v>
      </c>
      <c r="AE195" s="1">
        <v>192.727</v>
      </c>
      <c r="AF195" s="1">
        <v>-2.673</v>
      </c>
      <c r="AH195" s="1">
        <v>192.709</v>
      </c>
      <c r="AI195" s="1">
        <v>-2.4344999999999999</v>
      </c>
      <c r="AL195" s="1">
        <v>192.709</v>
      </c>
      <c r="AM195" s="1">
        <v>2.1520000000000001</v>
      </c>
      <c r="AR195" s="1">
        <v>192.63900000000001</v>
      </c>
      <c r="AS195" s="1">
        <v>-3.6435</v>
      </c>
    </row>
    <row r="196" spans="1:45" x14ac:dyDescent="0.2">
      <c r="A196" s="1">
        <v>193.846</v>
      </c>
      <c r="B196" s="1">
        <v>9.2370000000000001</v>
      </c>
      <c r="D196" s="1">
        <v>193.75</v>
      </c>
      <c r="E196" s="1">
        <v>4.1784999999999997</v>
      </c>
      <c r="G196" s="1">
        <v>193.75</v>
      </c>
      <c r="H196" s="1">
        <v>3.2755000000000001</v>
      </c>
      <c r="J196" s="1">
        <v>193.64699999999999</v>
      </c>
      <c r="K196" s="1">
        <v>5.1449999999999996</v>
      </c>
      <c r="M196" s="1">
        <v>193.78299999999999</v>
      </c>
      <c r="N196" s="1">
        <v>-1.8</v>
      </c>
      <c r="P196" s="1">
        <v>193.67500000000001</v>
      </c>
      <c r="Q196" s="1">
        <v>-2.2035</v>
      </c>
      <c r="S196" s="1">
        <v>193.613</v>
      </c>
      <c r="T196" s="1">
        <v>-1.8525</v>
      </c>
      <c r="V196" s="1">
        <v>193.67400000000001</v>
      </c>
      <c r="W196" s="1">
        <v>-1.7509999999999999</v>
      </c>
      <c r="Y196" s="1">
        <v>193.65899999999999</v>
      </c>
      <c r="Z196" s="1">
        <v>-1.5580000000000001</v>
      </c>
      <c r="AB196" s="1">
        <v>193.666</v>
      </c>
      <c r="AC196" s="1">
        <v>-3.4670000000000001</v>
      </c>
      <c r="AE196" s="1">
        <v>193.733</v>
      </c>
      <c r="AF196" s="1">
        <v>-2.6255000000000002</v>
      </c>
      <c r="AH196" s="1">
        <v>193.71600000000001</v>
      </c>
      <c r="AI196" s="1">
        <v>-2.4405000000000001</v>
      </c>
      <c r="AL196" s="1">
        <v>193.71600000000001</v>
      </c>
      <c r="AM196" s="1">
        <v>2.0775000000000001</v>
      </c>
      <c r="AR196" s="1">
        <v>193.64400000000001</v>
      </c>
      <c r="AS196" s="1">
        <v>-3.645</v>
      </c>
    </row>
    <row r="197" spans="1:45" x14ac:dyDescent="0.2">
      <c r="A197" s="1">
        <v>194.85</v>
      </c>
      <c r="B197" s="1">
        <v>9.1835000000000004</v>
      </c>
      <c r="D197" s="1">
        <v>194.75700000000001</v>
      </c>
      <c r="E197" s="1">
        <v>4.0990000000000002</v>
      </c>
      <c r="G197" s="1">
        <v>194.756</v>
      </c>
      <c r="H197" s="1">
        <v>3.2014999999999998</v>
      </c>
      <c r="J197" s="1">
        <v>194.654</v>
      </c>
      <c r="K197" s="1">
        <v>5.0670000000000002</v>
      </c>
      <c r="M197" s="1">
        <v>194.78800000000001</v>
      </c>
      <c r="N197" s="1">
        <v>-1.8594999999999999</v>
      </c>
      <c r="P197" s="1">
        <v>194.68</v>
      </c>
      <c r="Q197" s="1">
        <v>-2.258</v>
      </c>
      <c r="S197" s="1">
        <v>194.62100000000001</v>
      </c>
      <c r="T197" s="1">
        <v>-1.8075000000000001</v>
      </c>
      <c r="V197" s="1">
        <v>194.679</v>
      </c>
      <c r="W197" s="1">
        <v>-1.7635000000000001</v>
      </c>
      <c r="Y197" s="1">
        <v>194.66399999999999</v>
      </c>
      <c r="Z197" s="1">
        <v>-1.5860000000000001</v>
      </c>
      <c r="AB197" s="1">
        <v>194.67400000000001</v>
      </c>
      <c r="AC197" s="1">
        <v>-3.26</v>
      </c>
      <c r="AE197" s="1">
        <v>194.74</v>
      </c>
      <c r="AF197" s="1">
        <v>-2.5884999999999998</v>
      </c>
      <c r="AH197" s="1">
        <v>194.72</v>
      </c>
      <c r="AI197" s="1">
        <v>-2.4474999999999998</v>
      </c>
      <c r="AL197" s="1">
        <v>194.72300000000001</v>
      </c>
      <c r="AM197" s="1">
        <v>2.0059999999999998</v>
      </c>
      <c r="AR197" s="1">
        <v>194.65100000000001</v>
      </c>
      <c r="AS197" s="1">
        <v>-3.649</v>
      </c>
    </row>
    <row r="198" spans="1:45" x14ac:dyDescent="0.2">
      <c r="A198" s="1">
        <v>195.85499999999999</v>
      </c>
      <c r="B198" s="1">
        <v>9.1210000000000004</v>
      </c>
      <c r="D198" s="1">
        <v>195.76300000000001</v>
      </c>
      <c r="E198" s="1">
        <v>4.0179999999999998</v>
      </c>
      <c r="G198" s="1">
        <v>195.76400000000001</v>
      </c>
      <c r="H198" s="1">
        <v>3.1265000000000001</v>
      </c>
      <c r="J198" s="1">
        <v>195.66</v>
      </c>
      <c r="K198" s="1">
        <v>4.9710000000000001</v>
      </c>
      <c r="M198" s="1">
        <v>195.79400000000001</v>
      </c>
      <c r="N198" s="1">
        <v>-1.9319999999999999</v>
      </c>
      <c r="P198" s="1">
        <v>195.68600000000001</v>
      </c>
      <c r="Q198" s="1">
        <v>-2.3045</v>
      </c>
      <c r="S198" s="1">
        <v>195.62700000000001</v>
      </c>
      <c r="T198" s="1">
        <v>-1.7649999999999999</v>
      </c>
      <c r="V198" s="1">
        <v>195.684</v>
      </c>
      <c r="W198" s="1">
        <v>-1.7629999999999999</v>
      </c>
      <c r="Y198" s="1">
        <v>195.67</v>
      </c>
      <c r="Z198" s="1">
        <v>-1.615</v>
      </c>
      <c r="AB198" s="1">
        <v>195.68</v>
      </c>
      <c r="AC198" s="1">
        <v>-3.1074999999999999</v>
      </c>
      <c r="AE198" s="1">
        <v>195.74299999999999</v>
      </c>
      <c r="AF198" s="1">
        <v>-2.5449999999999999</v>
      </c>
      <c r="AH198" s="1">
        <v>195.72900000000001</v>
      </c>
      <c r="AI198" s="1">
        <v>-2.4529999999999998</v>
      </c>
      <c r="AL198" s="1">
        <v>195.726</v>
      </c>
      <c r="AM198" s="1">
        <v>1.92</v>
      </c>
      <c r="AR198" s="1">
        <v>195.65700000000001</v>
      </c>
      <c r="AS198" s="1">
        <v>-3.6480000000000001</v>
      </c>
    </row>
    <row r="199" spans="1:45" x14ac:dyDescent="0.2">
      <c r="A199" s="1">
        <v>196.86199999999999</v>
      </c>
      <c r="B199" s="1">
        <v>9.0579999999999998</v>
      </c>
      <c r="D199" s="1">
        <v>196.77</v>
      </c>
      <c r="E199" s="1">
        <v>3.9365000000000001</v>
      </c>
      <c r="G199" s="1">
        <v>196.773</v>
      </c>
      <c r="H199" s="1">
        <v>3.0459999999999998</v>
      </c>
      <c r="J199" s="1">
        <v>196.666</v>
      </c>
      <c r="K199" s="1">
        <v>4.8840000000000003</v>
      </c>
      <c r="M199" s="1">
        <v>196.804</v>
      </c>
      <c r="N199" s="1">
        <v>-1.9990000000000001</v>
      </c>
      <c r="P199" s="1">
        <v>196.691</v>
      </c>
      <c r="Q199" s="1">
        <v>-2.3260000000000001</v>
      </c>
      <c r="S199" s="1">
        <v>196.63300000000001</v>
      </c>
      <c r="T199" s="1">
        <v>-1.728</v>
      </c>
      <c r="V199" s="1">
        <v>196.68799999999999</v>
      </c>
      <c r="W199" s="1">
        <v>-1.7729999999999999</v>
      </c>
      <c r="Y199" s="1">
        <v>196.678</v>
      </c>
      <c r="Z199" s="1">
        <v>-1.643</v>
      </c>
      <c r="AB199" s="1">
        <v>196.68700000000001</v>
      </c>
      <c r="AC199" s="1">
        <v>-2.9910000000000001</v>
      </c>
      <c r="AE199" s="1">
        <v>196.749</v>
      </c>
      <c r="AF199" s="1">
        <v>-2.5165000000000002</v>
      </c>
      <c r="AH199" s="1">
        <v>196.73400000000001</v>
      </c>
      <c r="AI199" s="1">
        <v>-2.4544999999999999</v>
      </c>
      <c r="AL199" s="1">
        <v>196.73</v>
      </c>
      <c r="AM199" s="1">
        <v>1.8394999999999999</v>
      </c>
      <c r="AR199" s="1">
        <v>196.66300000000001</v>
      </c>
      <c r="AS199" s="1">
        <v>-3.6364999999999998</v>
      </c>
    </row>
    <row r="200" spans="1:45" x14ac:dyDescent="0.2">
      <c r="A200" s="1">
        <v>197.86600000000001</v>
      </c>
      <c r="B200" s="1">
        <v>9.0039999999999996</v>
      </c>
      <c r="D200" s="1">
        <v>197.77699999999999</v>
      </c>
      <c r="E200" s="1">
        <v>3.85</v>
      </c>
      <c r="G200" s="1">
        <v>197.77799999999999</v>
      </c>
      <c r="H200" s="1">
        <v>2.9735</v>
      </c>
      <c r="J200" s="1">
        <v>197.67400000000001</v>
      </c>
      <c r="K200" s="1">
        <v>4.8049999999999997</v>
      </c>
      <c r="M200" s="1">
        <v>197.81100000000001</v>
      </c>
      <c r="N200" s="1">
        <v>-2.0720000000000001</v>
      </c>
      <c r="P200" s="1">
        <v>197.696</v>
      </c>
      <c r="Q200" s="1">
        <v>-2.0485000000000002</v>
      </c>
      <c r="S200" s="1">
        <v>197.64099999999999</v>
      </c>
      <c r="T200" s="1">
        <v>-1.6944999999999999</v>
      </c>
      <c r="V200" s="1">
        <v>197.69300000000001</v>
      </c>
      <c r="W200" s="1">
        <v>-1.776</v>
      </c>
      <c r="Y200" s="1">
        <v>197.684</v>
      </c>
      <c r="Z200" s="1">
        <v>-1.6559999999999999</v>
      </c>
      <c r="AB200" s="1">
        <v>197.69300000000001</v>
      </c>
      <c r="AC200" s="1">
        <v>-2.9119999999999999</v>
      </c>
      <c r="AE200" s="1">
        <v>197.756</v>
      </c>
      <c r="AF200" s="1">
        <v>-2.5005000000000002</v>
      </c>
      <c r="AH200" s="1">
        <v>197.74100000000001</v>
      </c>
      <c r="AI200" s="1">
        <v>-2.4525000000000001</v>
      </c>
      <c r="AL200" s="1">
        <v>197.73500000000001</v>
      </c>
      <c r="AM200" s="1">
        <v>1.7595000000000001</v>
      </c>
      <c r="AR200" s="1">
        <v>197.66900000000001</v>
      </c>
      <c r="AS200" s="1">
        <v>-3.6425000000000001</v>
      </c>
    </row>
    <row r="201" spans="1:45" x14ac:dyDescent="0.2">
      <c r="A201" s="1">
        <v>198.87100000000001</v>
      </c>
      <c r="B201" s="1">
        <v>8.9425000000000008</v>
      </c>
      <c r="D201" s="1">
        <v>198.78399999999999</v>
      </c>
      <c r="E201" s="1">
        <v>3.7589999999999999</v>
      </c>
      <c r="G201" s="1">
        <v>198.78299999999999</v>
      </c>
      <c r="H201" s="1">
        <v>2.907</v>
      </c>
      <c r="J201" s="1">
        <v>198.68100000000001</v>
      </c>
      <c r="K201" s="1">
        <v>4.7164999999999999</v>
      </c>
      <c r="M201" s="1">
        <v>198.82</v>
      </c>
      <c r="N201" s="1">
        <v>-2.1444999999999999</v>
      </c>
      <c r="P201" s="1">
        <v>198.70400000000001</v>
      </c>
      <c r="Q201" s="1">
        <v>-1.615</v>
      </c>
      <c r="S201" s="1">
        <v>198.648</v>
      </c>
      <c r="T201" s="1">
        <v>-1.6655</v>
      </c>
      <c r="V201" s="1">
        <v>198.69900000000001</v>
      </c>
      <c r="W201" s="1">
        <v>-1.786</v>
      </c>
      <c r="Y201" s="1">
        <v>198.69</v>
      </c>
      <c r="Z201" s="1">
        <v>-1.6739999999999999</v>
      </c>
      <c r="AB201" s="1">
        <v>198.69900000000001</v>
      </c>
      <c r="AC201" s="1">
        <v>-2.859</v>
      </c>
      <c r="AE201" s="1">
        <v>198.76499999999999</v>
      </c>
      <c r="AF201" s="1">
        <v>-2.4874999999999998</v>
      </c>
      <c r="AH201" s="1">
        <v>198.74799999999999</v>
      </c>
      <c r="AI201" s="1">
        <v>-2.4550000000000001</v>
      </c>
      <c r="AL201" s="1">
        <v>198.74199999999999</v>
      </c>
      <c r="AM201" s="1">
        <v>1.6870000000000001</v>
      </c>
      <c r="AR201" s="1">
        <v>198.67400000000001</v>
      </c>
      <c r="AS201" s="1">
        <v>-3.6469999999999998</v>
      </c>
    </row>
    <row r="202" spans="1:45" x14ac:dyDescent="0.2">
      <c r="A202" s="1">
        <v>199.87899999999999</v>
      </c>
      <c r="B202" s="1">
        <v>8.8800000000000008</v>
      </c>
      <c r="D202" s="1">
        <v>199.791</v>
      </c>
      <c r="E202" s="1">
        <v>3.6835</v>
      </c>
      <c r="G202" s="1">
        <v>199.78899999999999</v>
      </c>
      <c r="H202" s="1">
        <v>2.8264999999999998</v>
      </c>
      <c r="J202" s="1">
        <v>199.68899999999999</v>
      </c>
      <c r="K202" s="1">
        <v>4.6459999999999999</v>
      </c>
      <c r="M202" s="1">
        <v>199.82900000000001</v>
      </c>
      <c r="N202" s="1">
        <v>-2.2124999999999999</v>
      </c>
      <c r="P202" s="1">
        <v>199.708</v>
      </c>
      <c r="Q202" s="1">
        <v>-1.2709999999999999</v>
      </c>
      <c r="S202" s="1">
        <v>199.65299999999999</v>
      </c>
      <c r="T202" s="1">
        <v>-1.6445000000000001</v>
      </c>
      <c r="V202" s="1">
        <v>199.70400000000001</v>
      </c>
      <c r="W202" s="1">
        <v>-1.7815000000000001</v>
      </c>
      <c r="Y202" s="1">
        <v>199.69800000000001</v>
      </c>
      <c r="Z202" s="1">
        <v>-1.6825000000000001</v>
      </c>
      <c r="AB202" s="1">
        <v>199.708</v>
      </c>
      <c r="AC202" s="1">
        <v>-2.823</v>
      </c>
      <c r="AE202" s="1">
        <v>199.77199999999999</v>
      </c>
      <c r="AF202" s="1">
        <v>-2.4780000000000002</v>
      </c>
      <c r="AL202" s="1">
        <v>199.749</v>
      </c>
      <c r="AM202" s="1">
        <v>1.6</v>
      </c>
      <c r="AR202" s="1">
        <v>199.678</v>
      </c>
      <c r="AS202" s="1">
        <v>-3.645</v>
      </c>
    </row>
    <row r="203" spans="1:45" x14ac:dyDescent="0.2">
      <c r="A203" s="1">
        <v>200.886</v>
      </c>
      <c r="B203" s="1">
        <v>8.81</v>
      </c>
      <c r="D203" s="1">
        <v>200.798</v>
      </c>
      <c r="E203" s="1">
        <v>3.6070000000000002</v>
      </c>
      <c r="G203" s="1">
        <v>200.79599999999999</v>
      </c>
      <c r="H203" s="1">
        <v>2.746</v>
      </c>
      <c r="J203" s="1">
        <v>200.75899999999999</v>
      </c>
      <c r="K203" s="1">
        <v>4.5495000000000001</v>
      </c>
      <c r="M203" s="1">
        <v>200.834</v>
      </c>
      <c r="N203" s="1">
        <v>-2.2770000000000001</v>
      </c>
      <c r="P203" s="1">
        <v>200.715</v>
      </c>
      <c r="Q203" s="1">
        <v>-1.0065</v>
      </c>
      <c r="S203" s="1">
        <v>200.65700000000001</v>
      </c>
      <c r="T203" s="1">
        <v>-1.6125</v>
      </c>
      <c r="V203" s="1">
        <v>200.709</v>
      </c>
      <c r="W203" s="1">
        <v>-1.792</v>
      </c>
      <c r="Y203" s="1">
        <v>200.703</v>
      </c>
      <c r="Z203" s="1">
        <v>-1.6910000000000001</v>
      </c>
      <c r="AB203" s="1">
        <v>200.71299999999999</v>
      </c>
      <c r="AC203" s="1">
        <v>-2.79</v>
      </c>
      <c r="AE203" s="1">
        <v>200.77699999999999</v>
      </c>
      <c r="AF203" s="1">
        <v>-2.4740000000000002</v>
      </c>
      <c r="AL203" s="1">
        <v>200.755</v>
      </c>
      <c r="AM203" s="1">
        <v>1.526</v>
      </c>
      <c r="AR203" s="1">
        <v>200.68299999999999</v>
      </c>
      <c r="AS203" s="1">
        <v>-3.637</v>
      </c>
    </row>
    <row r="204" spans="1:45" x14ac:dyDescent="0.2">
      <c r="A204" s="1">
        <v>201.892</v>
      </c>
      <c r="B204" s="1">
        <v>8.7545000000000002</v>
      </c>
      <c r="D204" s="1">
        <v>201.80500000000001</v>
      </c>
      <c r="E204" s="1">
        <v>3.5285000000000002</v>
      </c>
      <c r="G204" s="1">
        <v>201.8</v>
      </c>
      <c r="H204" s="1">
        <v>2.6695000000000002</v>
      </c>
      <c r="J204" s="1">
        <v>201.76499999999999</v>
      </c>
      <c r="K204" s="1">
        <v>4.468</v>
      </c>
      <c r="M204" s="1">
        <v>201.83799999999999</v>
      </c>
      <c r="N204" s="1">
        <v>-2.3504999999999998</v>
      </c>
      <c r="P204" s="1">
        <v>201.72200000000001</v>
      </c>
      <c r="Q204" s="1">
        <v>-0.82499999999999996</v>
      </c>
      <c r="S204" s="1">
        <v>201.66300000000001</v>
      </c>
      <c r="T204" s="1">
        <v>-1.611</v>
      </c>
      <c r="V204" s="1">
        <v>201.71799999999999</v>
      </c>
      <c r="W204" s="1">
        <v>-1.7875000000000001</v>
      </c>
      <c r="Y204" s="1">
        <v>201.709</v>
      </c>
      <c r="Z204" s="1">
        <v>-1.6910000000000001</v>
      </c>
      <c r="AB204" s="1">
        <v>201.72</v>
      </c>
      <c r="AC204" s="1">
        <v>-2.77</v>
      </c>
      <c r="AE204" s="1">
        <v>201.78399999999999</v>
      </c>
      <c r="AF204" s="1">
        <v>-2.4630000000000001</v>
      </c>
      <c r="AL204" s="1">
        <v>201.762</v>
      </c>
      <c r="AM204" s="1">
        <v>1.4515</v>
      </c>
      <c r="AR204" s="1">
        <v>201.68700000000001</v>
      </c>
      <c r="AS204" s="1">
        <v>-3.641</v>
      </c>
    </row>
    <row r="205" spans="1:45" x14ac:dyDescent="0.2">
      <c r="A205" s="1">
        <v>202.898</v>
      </c>
      <c r="B205" s="1">
        <v>8.6910000000000007</v>
      </c>
      <c r="D205" s="1">
        <v>202.80799999999999</v>
      </c>
      <c r="E205" s="1">
        <v>3.4489999999999998</v>
      </c>
      <c r="G205" s="1">
        <v>202.80500000000001</v>
      </c>
      <c r="H205" s="1">
        <v>2.6015000000000001</v>
      </c>
      <c r="J205" s="1">
        <v>202.77199999999999</v>
      </c>
      <c r="K205" s="1">
        <v>4.3840000000000003</v>
      </c>
      <c r="M205" s="1">
        <v>202.84399999999999</v>
      </c>
      <c r="N205" s="1">
        <v>-2.4159999999999999</v>
      </c>
      <c r="P205" s="1">
        <v>202.73099999999999</v>
      </c>
      <c r="Q205" s="1">
        <v>-0.68700000000000006</v>
      </c>
      <c r="S205" s="1">
        <v>202.66800000000001</v>
      </c>
      <c r="T205" s="1">
        <v>-1.6</v>
      </c>
      <c r="V205" s="1">
        <v>202.72300000000001</v>
      </c>
      <c r="W205" s="1">
        <v>-1.78</v>
      </c>
      <c r="Y205" s="1">
        <v>202.71199999999999</v>
      </c>
      <c r="Z205" s="1">
        <v>-1.7030000000000001</v>
      </c>
      <c r="AB205" s="1">
        <v>202.72399999999999</v>
      </c>
      <c r="AC205" s="1">
        <v>-2.7694999999999999</v>
      </c>
      <c r="AE205" s="1">
        <v>202.78800000000001</v>
      </c>
      <c r="AF205" s="1">
        <v>-2.4569999999999999</v>
      </c>
      <c r="AL205" s="1">
        <v>202.76900000000001</v>
      </c>
      <c r="AM205" s="1">
        <v>1.3660000000000001</v>
      </c>
      <c r="AR205" s="1">
        <v>202.69399999999999</v>
      </c>
      <c r="AS205" s="1">
        <v>-3.657</v>
      </c>
    </row>
    <row r="206" spans="1:45" x14ac:dyDescent="0.2">
      <c r="A206" s="1">
        <v>203.90299999999999</v>
      </c>
      <c r="B206" s="1">
        <v>8.6289999999999996</v>
      </c>
      <c r="D206" s="1">
        <v>203.81200000000001</v>
      </c>
      <c r="E206" s="1">
        <v>3.3660000000000001</v>
      </c>
      <c r="G206" s="1">
        <v>203.81100000000001</v>
      </c>
      <c r="H206" s="1">
        <v>2.5230000000000001</v>
      </c>
      <c r="J206" s="1">
        <v>203.77699999999999</v>
      </c>
      <c r="K206" s="1">
        <v>4.3</v>
      </c>
      <c r="M206" s="1">
        <v>203.84899999999999</v>
      </c>
      <c r="N206" s="1">
        <v>-2.4794999999999998</v>
      </c>
      <c r="P206" s="1">
        <v>203.74</v>
      </c>
      <c r="Q206" s="1">
        <v>-0.59450000000000003</v>
      </c>
      <c r="S206" s="1">
        <v>203.67400000000001</v>
      </c>
      <c r="T206" s="1">
        <v>-1.585</v>
      </c>
      <c r="V206" s="1">
        <v>203.727</v>
      </c>
      <c r="W206" s="1">
        <v>-1.7829999999999999</v>
      </c>
      <c r="Y206" s="1">
        <v>203.71799999999999</v>
      </c>
      <c r="Z206" s="1">
        <v>-1.7035</v>
      </c>
      <c r="AB206" s="1">
        <v>203.73</v>
      </c>
      <c r="AC206" s="1">
        <v>-2.7725</v>
      </c>
      <c r="AE206" s="1">
        <v>203.79499999999999</v>
      </c>
      <c r="AF206" s="1">
        <v>-2.4455</v>
      </c>
      <c r="AL206" s="1">
        <v>203.77500000000001</v>
      </c>
      <c r="AM206" s="1">
        <v>1.29</v>
      </c>
      <c r="AR206" s="1">
        <v>203.702</v>
      </c>
      <c r="AS206" s="1">
        <v>-3.6595</v>
      </c>
    </row>
    <row r="207" spans="1:45" x14ac:dyDescent="0.2">
      <c r="A207" s="1">
        <v>204.90700000000001</v>
      </c>
      <c r="B207" s="1">
        <v>8.5754999999999999</v>
      </c>
      <c r="D207" s="1">
        <v>204.81700000000001</v>
      </c>
      <c r="E207" s="1">
        <v>3.2759999999999998</v>
      </c>
      <c r="G207" s="1">
        <v>204.81800000000001</v>
      </c>
      <c r="H207" s="1">
        <v>2.4544999999999999</v>
      </c>
      <c r="J207" s="1">
        <v>204.78200000000001</v>
      </c>
      <c r="K207" s="1">
        <v>4.2154999999999996</v>
      </c>
      <c r="M207" s="1">
        <v>204.858</v>
      </c>
      <c r="N207" s="1">
        <v>-2.5405000000000002</v>
      </c>
      <c r="P207" s="1">
        <v>204.745</v>
      </c>
      <c r="Q207" s="1">
        <v>-0.52449999999999997</v>
      </c>
      <c r="S207" s="1">
        <v>204.68299999999999</v>
      </c>
      <c r="T207" s="1">
        <v>-1.589</v>
      </c>
      <c r="V207" s="1">
        <v>204.73400000000001</v>
      </c>
      <c r="W207" s="1">
        <v>-1.784</v>
      </c>
      <c r="Y207" s="1">
        <v>204.72300000000001</v>
      </c>
      <c r="Z207" s="1">
        <v>-1.7035</v>
      </c>
      <c r="AB207" s="1">
        <v>204.73400000000001</v>
      </c>
      <c r="AC207" s="1">
        <v>-2.7810000000000001</v>
      </c>
      <c r="AE207" s="1">
        <v>204.804</v>
      </c>
      <c r="AF207" s="1">
        <v>-2.4275000000000002</v>
      </c>
      <c r="AL207" s="1">
        <v>204.779</v>
      </c>
      <c r="AM207" s="1">
        <v>1.202</v>
      </c>
      <c r="AR207" s="1">
        <v>204.709</v>
      </c>
      <c r="AS207" s="1">
        <v>-3.6760000000000002</v>
      </c>
    </row>
    <row r="208" spans="1:45" x14ac:dyDescent="0.2">
      <c r="A208" s="1">
        <v>205.91300000000001</v>
      </c>
      <c r="B208" s="1">
        <v>8.5139999999999993</v>
      </c>
      <c r="D208" s="1">
        <v>205.82400000000001</v>
      </c>
      <c r="E208" s="1">
        <v>3.1945000000000001</v>
      </c>
      <c r="G208" s="1">
        <v>205.82499999999999</v>
      </c>
      <c r="H208" s="1">
        <v>2.3795000000000002</v>
      </c>
      <c r="J208" s="1">
        <v>205.78800000000001</v>
      </c>
      <c r="K208" s="1">
        <v>4.1325000000000003</v>
      </c>
      <c r="M208" s="1">
        <v>205.863</v>
      </c>
      <c r="N208" s="1">
        <v>-2.6145</v>
      </c>
      <c r="P208" s="1">
        <v>205.749</v>
      </c>
      <c r="Q208" s="1">
        <v>-0.46700000000000003</v>
      </c>
      <c r="S208" s="1">
        <v>205.68700000000001</v>
      </c>
      <c r="T208" s="1">
        <v>-1.5794999999999999</v>
      </c>
      <c r="V208" s="1">
        <v>205.74</v>
      </c>
      <c r="W208" s="1">
        <v>-1.7755000000000001</v>
      </c>
      <c r="Y208" s="1">
        <v>205.727</v>
      </c>
      <c r="Z208" s="1">
        <v>-1.6984999999999999</v>
      </c>
      <c r="AB208" s="1">
        <v>205.74199999999999</v>
      </c>
      <c r="AC208" s="1">
        <v>-2.7894999999999999</v>
      </c>
      <c r="AE208" s="1">
        <v>205.809</v>
      </c>
      <c r="AF208" s="1">
        <v>-2.4275000000000002</v>
      </c>
      <c r="AL208" s="1">
        <v>205.785</v>
      </c>
      <c r="AM208" s="1">
        <v>1.1315</v>
      </c>
      <c r="AR208" s="1">
        <v>205.715</v>
      </c>
      <c r="AS208" s="1">
        <v>-3.6840000000000002</v>
      </c>
    </row>
    <row r="209" spans="1:45" x14ac:dyDescent="0.2">
      <c r="A209" s="1">
        <v>206.91800000000001</v>
      </c>
      <c r="B209" s="1">
        <v>8.4664999999999999</v>
      </c>
      <c r="D209" s="1">
        <v>206.83</v>
      </c>
      <c r="E209" s="1">
        <v>3.1194999999999999</v>
      </c>
      <c r="G209" s="1">
        <v>206.83099999999999</v>
      </c>
      <c r="H209" s="1">
        <v>2.3094999999999999</v>
      </c>
      <c r="J209" s="1">
        <v>206.79300000000001</v>
      </c>
      <c r="K209" s="1">
        <v>4.0430000000000001</v>
      </c>
      <c r="M209" s="1">
        <v>206.869</v>
      </c>
      <c r="N209" s="1">
        <v>-2.6905000000000001</v>
      </c>
      <c r="P209" s="1">
        <v>206.756</v>
      </c>
      <c r="Q209" s="1">
        <v>-0.42699999999999999</v>
      </c>
      <c r="S209" s="1">
        <v>206.69300000000001</v>
      </c>
      <c r="T209" s="1">
        <v>-1.577</v>
      </c>
      <c r="V209" s="1">
        <v>206.74600000000001</v>
      </c>
      <c r="W209" s="1">
        <v>-1.7695000000000001</v>
      </c>
      <c r="Y209" s="1">
        <v>206.73400000000001</v>
      </c>
      <c r="Z209" s="1">
        <v>-1.6845000000000001</v>
      </c>
      <c r="AB209" s="1">
        <v>206.749</v>
      </c>
      <c r="AC209" s="1">
        <v>-2.8035000000000001</v>
      </c>
      <c r="AE209" s="1">
        <v>206.81399999999999</v>
      </c>
      <c r="AF209" s="1">
        <v>-2.431</v>
      </c>
      <c r="AL209" s="1">
        <v>206.78899999999999</v>
      </c>
      <c r="AM209" s="1">
        <v>1.054</v>
      </c>
      <c r="AR209" s="1">
        <v>206.71700000000001</v>
      </c>
      <c r="AS209" s="1">
        <v>-3.6875</v>
      </c>
    </row>
    <row r="210" spans="1:45" x14ac:dyDescent="0.2">
      <c r="A210" s="1">
        <v>207.923</v>
      </c>
      <c r="B210" s="1">
        <v>8.4009999999999998</v>
      </c>
      <c r="D210" s="1">
        <v>207.834</v>
      </c>
      <c r="E210" s="1">
        <v>3.0409999999999999</v>
      </c>
      <c r="G210" s="1">
        <v>207.83799999999999</v>
      </c>
      <c r="H210" s="1">
        <v>2.2324999999999999</v>
      </c>
      <c r="J210" s="1">
        <v>207.80099999999999</v>
      </c>
      <c r="K210" s="1">
        <v>3.956</v>
      </c>
      <c r="M210" s="1">
        <v>207.876</v>
      </c>
      <c r="N210" s="1">
        <v>-2.76</v>
      </c>
      <c r="P210" s="1">
        <v>207.75899999999999</v>
      </c>
      <c r="Q210" s="1">
        <v>-0.38700000000000001</v>
      </c>
      <c r="S210" s="1">
        <v>207.69800000000001</v>
      </c>
      <c r="T210" s="1">
        <v>-1.5740000000000001</v>
      </c>
      <c r="V210" s="1">
        <v>207.75399999999999</v>
      </c>
      <c r="W210" s="1">
        <v>-1.768</v>
      </c>
      <c r="Y210" s="1">
        <v>207.738</v>
      </c>
      <c r="Z210" s="1">
        <v>-1.6679999999999999</v>
      </c>
      <c r="AB210" s="1">
        <v>207.755</v>
      </c>
      <c r="AC210" s="1">
        <v>-2.802</v>
      </c>
      <c r="AE210" s="1">
        <v>207.821</v>
      </c>
      <c r="AF210" s="1">
        <v>-2.4430000000000001</v>
      </c>
      <c r="AL210" s="1">
        <v>207.79499999999999</v>
      </c>
      <c r="AM210" s="1">
        <v>0.97</v>
      </c>
      <c r="AR210" s="1">
        <v>207.72300000000001</v>
      </c>
      <c r="AS210" s="1">
        <v>-3.6930000000000001</v>
      </c>
    </row>
    <row r="211" spans="1:45" x14ac:dyDescent="0.2">
      <c r="A211" s="1">
        <v>208.92699999999999</v>
      </c>
      <c r="B211" s="1">
        <v>8.3520000000000003</v>
      </c>
      <c r="D211" s="1">
        <v>208.839</v>
      </c>
      <c r="E211" s="1">
        <v>2.9575</v>
      </c>
      <c r="G211" s="1">
        <v>208.84399999999999</v>
      </c>
      <c r="H211" s="1">
        <v>2.1635</v>
      </c>
      <c r="J211" s="1">
        <v>208.809</v>
      </c>
      <c r="K211" s="1">
        <v>3.8769999999999998</v>
      </c>
      <c r="M211" s="1">
        <v>208.881</v>
      </c>
      <c r="N211" s="1">
        <v>-2.83</v>
      </c>
      <c r="P211" s="1">
        <v>208.76499999999999</v>
      </c>
      <c r="Q211" s="1">
        <v>-0.36549999999999999</v>
      </c>
      <c r="S211" s="1">
        <v>208.703</v>
      </c>
      <c r="T211" s="1">
        <v>-1.5734999999999999</v>
      </c>
      <c r="V211" s="1">
        <v>208.76</v>
      </c>
      <c r="W211" s="1">
        <v>-1.7605</v>
      </c>
      <c r="Y211" s="1">
        <v>208.744</v>
      </c>
      <c r="Z211" s="1">
        <v>-1.653</v>
      </c>
      <c r="AB211" s="1">
        <v>208.76300000000001</v>
      </c>
      <c r="AC211" s="1">
        <v>-2.8075000000000001</v>
      </c>
      <c r="AE211" s="1">
        <v>208.827</v>
      </c>
      <c r="AF211" s="1">
        <v>-2.444</v>
      </c>
      <c r="AL211" s="1">
        <v>208.80099999999999</v>
      </c>
      <c r="AM211" s="1">
        <v>0.89700000000000002</v>
      </c>
      <c r="AR211" s="1">
        <v>208.732</v>
      </c>
      <c r="AS211" s="1">
        <v>-3.6974999999999998</v>
      </c>
    </row>
    <row r="212" spans="1:45" x14ac:dyDescent="0.2">
      <c r="A212" s="1">
        <v>209.93100000000001</v>
      </c>
      <c r="B212" s="1">
        <v>8.2970000000000006</v>
      </c>
      <c r="D212" s="1">
        <v>209.84399999999999</v>
      </c>
      <c r="E212" s="1">
        <v>2.879</v>
      </c>
      <c r="G212" s="1">
        <v>209.852</v>
      </c>
      <c r="H212" s="1">
        <v>2.0884999999999998</v>
      </c>
      <c r="J212" s="1">
        <v>209.816</v>
      </c>
      <c r="K212" s="1">
        <v>3.7919999999999998</v>
      </c>
      <c r="M212" s="1">
        <v>209.88399999999999</v>
      </c>
      <c r="N212" s="1">
        <v>-2.9</v>
      </c>
      <c r="P212" s="1">
        <v>209.77099999999999</v>
      </c>
      <c r="Q212" s="1">
        <v>-0.35499999999999998</v>
      </c>
      <c r="S212" s="1">
        <v>209.71100000000001</v>
      </c>
      <c r="T212" s="1">
        <v>-1.5669999999999999</v>
      </c>
      <c r="V212" s="1">
        <v>209.76599999999999</v>
      </c>
      <c r="W212" s="1">
        <v>-1.7575000000000001</v>
      </c>
      <c r="Y212" s="1">
        <v>209.74799999999999</v>
      </c>
      <c r="Z212" s="1">
        <v>-1.6435</v>
      </c>
      <c r="AB212" s="1">
        <v>209.768</v>
      </c>
      <c r="AC212" s="1">
        <v>-2.8045</v>
      </c>
      <c r="AE212" s="1">
        <v>209.83099999999999</v>
      </c>
      <c r="AF212" s="1">
        <v>-2.4434999999999998</v>
      </c>
      <c r="AL212" s="1">
        <v>209.80500000000001</v>
      </c>
      <c r="AM212" s="1">
        <v>0.81399999999999995</v>
      </c>
      <c r="AR212" s="1">
        <v>209.73699999999999</v>
      </c>
      <c r="AS212" s="1">
        <v>-3.7069999999999999</v>
      </c>
    </row>
    <row r="213" spans="1:45" x14ac:dyDescent="0.2">
      <c r="A213" s="1">
        <v>210.93600000000001</v>
      </c>
      <c r="B213" s="1">
        <v>8.2420000000000009</v>
      </c>
      <c r="D213" s="1">
        <v>210.84800000000001</v>
      </c>
      <c r="E213" s="1">
        <v>2.7930000000000001</v>
      </c>
      <c r="G213" s="1">
        <v>210.85499999999999</v>
      </c>
      <c r="H213" s="1">
        <v>2.0165000000000002</v>
      </c>
      <c r="J213" s="1">
        <v>210.82300000000001</v>
      </c>
      <c r="K213" s="1">
        <v>3.6970000000000001</v>
      </c>
      <c r="M213" s="1">
        <v>210.89099999999999</v>
      </c>
      <c r="N213" s="1">
        <v>-2.9735</v>
      </c>
      <c r="P213" s="1">
        <v>210.77600000000001</v>
      </c>
      <c r="Q213" s="1">
        <v>-0.34250000000000003</v>
      </c>
      <c r="S213" s="1">
        <v>210.721</v>
      </c>
      <c r="T213" s="1">
        <v>-1.57</v>
      </c>
      <c r="V213" s="1">
        <v>210.77099999999999</v>
      </c>
      <c r="W213" s="1">
        <v>-1.75</v>
      </c>
      <c r="Y213" s="1">
        <v>210.75399999999999</v>
      </c>
      <c r="Z213" s="1">
        <v>-1.6274999999999999</v>
      </c>
      <c r="AB213" s="1">
        <v>210.77199999999999</v>
      </c>
      <c r="AC213" s="1">
        <v>-2.8025000000000002</v>
      </c>
      <c r="AE213" s="1">
        <v>210.834</v>
      </c>
      <c r="AF213" s="1">
        <v>-2.4434999999999998</v>
      </c>
      <c r="AL213" s="1">
        <v>210.81299999999999</v>
      </c>
      <c r="AM213" s="1">
        <v>0.73099999999999998</v>
      </c>
      <c r="AR213" s="1">
        <v>210.74299999999999</v>
      </c>
      <c r="AS213" s="1">
        <v>-3.7050000000000001</v>
      </c>
    </row>
    <row r="214" spans="1:45" x14ac:dyDescent="0.2">
      <c r="A214" s="1">
        <v>211.94</v>
      </c>
      <c r="B214" s="1">
        <v>8.173</v>
      </c>
      <c r="D214" s="1">
        <v>211.85400000000001</v>
      </c>
      <c r="E214" s="1">
        <v>2.718</v>
      </c>
      <c r="G214" s="1">
        <v>211.86</v>
      </c>
      <c r="H214" s="1">
        <v>1.944</v>
      </c>
      <c r="J214" s="1">
        <v>211.828</v>
      </c>
      <c r="K214" s="1">
        <v>3.6305000000000001</v>
      </c>
      <c r="M214" s="1">
        <v>211.9</v>
      </c>
      <c r="N214" s="1">
        <v>-3.0385</v>
      </c>
      <c r="P214" s="1">
        <v>211.78200000000001</v>
      </c>
      <c r="Q214" s="1">
        <v>-0.33700000000000002</v>
      </c>
      <c r="S214" s="1">
        <v>211.727</v>
      </c>
      <c r="T214" s="1">
        <v>-1.569</v>
      </c>
      <c r="V214" s="1">
        <v>211.77799999999999</v>
      </c>
      <c r="W214" s="1">
        <v>-1.7375</v>
      </c>
      <c r="Y214" s="1">
        <v>211.75800000000001</v>
      </c>
      <c r="Z214" s="1">
        <v>-1.6140000000000001</v>
      </c>
      <c r="AB214" s="1">
        <v>211.77699999999999</v>
      </c>
      <c r="AC214" s="1">
        <v>-2.8010000000000002</v>
      </c>
      <c r="AE214" s="1">
        <v>211.83799999999999</v>
      </c>
      <c r="AF214" s="1">
        <v>-2.4434999999999998</v>
      </c>
      <c r="AL214" s="1">
        <v>211.821</v>
      </c>
      <c r="AM214" s="1">
        <v>0.65249999999999997</v>
      </c>
      <c r="AR214" s="1">
        <v>211.751</v>
      </c>
      <c r="AS214" s="1">
        <v>-3.7094999999999998</v>
      </c>
    </row>
    <row r="215" spans="1:45" x14ac:dyDescent="0.2">
      <c r="A215" s="1">
        <v>212.94499999999999</v>
      </c>
      <c r="B215" s="1">
        <v>8.1150000000000002</v>
      </c>
      <c r="D215" s="1">
        <v>212.86</v>
      </c>
      <c r="E215" s="1">
        <v>2.6360000000000001</v>
      </c>
      <c r="G215" s="1">
        <v>212.86500000000001</v>
      </c>
      <c r="H215" s="1">
        <v>1.869</v>
      </c>
      <c r="J215" s="1">
        <v>212.83199999999999</v>
      </c>
      <c r="K215" s="1">
        <v>3.55</v>
      </c>
      <c r="M215" s="1">
        <v>212.90799999999999</v>
      </c>
      <c r="N215" s="1">
        <v>-3.1154999999999999</v>
      </c>
      <c r="P215" s="1">
        <v>212.792</v>
      </c>
      <c r="Q215" s="1">
        <v>-0.34</v>
      </c>
      <c r="S215" s="1">
        <v>212.733</v>
      </c>
      <c r="T215" s="1">
        <v>-1.571</v>
      </c>
      <c r="V215" s="1">
        <v>212.78200000000001</v>
      </c>
      <c r="W215" s="1">
        <v>-1.7310000000000001</v>
      </c>
      <c r="Y215" s="1">
        <v>212.76400000000001</v>
      </c>
      <c r="Z215" s="1">
        <v>-1.595</v>
      </c>
      <c r="AB215" s="1">
        <v>212.78299999999999</v>
      </c>
      <c r="AC215" s="1">
        <v>-2.8079999999999998</v>
      </c>
      <c r="AE215" s="1">
        <v>212.84299999999999</v>
      </c>
      <c r="AF215" s="1">
        <v>-2.4449999999999998</v>
      </c>
      <c r="AL215" s="1">
        <v>212.83099999999999</v>
      </c>
      <c r="AM215" s="1">
        <v>0.5675</v>
      </c>
      <c r="AR215" s="1">
        <v>212.75899999999999</v>
      </c>
      <c r="AS215" s="1">
        <v>-3.7210000000000001</v>
      </c>
    </row>
    <row r="216" spans="1:45" x14ac:dyDescent="0.2">
      <c r="A216" s="1">
        <v>213.95099999999999</v>
      </c>
      <c r="B216" s="1">
        <v>8.0585000000000004</v>
      </c>
      <c r="D216" s="1">
        <v>213.86699999999999</v>
      </c>
      <c r="E216" s="1">
        <v>2.5630000000000002</v>
      </c>
      <c r="G216" s="1">
        <v>213.874</v>
      </c>
      <c r="H216" s="1">
        <v>1.7955000000000001</v>
      </c>
      <c r="J216" s="1">
        <v>213.83699999999999</v>
      </c>
      <c r="K216" s="1">
        <v>3.4769999999999999</v>
      </c>
      <c r="M216" s="1">
        <v>213.91300000000001</v>
      </c>
      <c r="N216" s="1">
        <v>-3.1865000000000001</v>
      </c>
      <c r="P216" s="1">
        <v>213.797</v>
      </c>
      <c r="Q216" s="1">
        <v>-0.34</v>
      </c>
      <c r="S216" s="1">
        <v>213.73699999999999</v>
      </c>
      <c r="T216" s="1">
        <v>-1.57</v>
      </c>
      <c r="V216" s="1">
        <v>213.78899999999999</v>
      </c>
      <c r="W216" s="1">
        <v>-1.7290000000000001</v>
      </c>
      <c r="Y216" s="1">
        <v>213.77099999999999</v>
      </c>
      <c r="Z216" s="1">
        <v>-1.5820000000000001</v>
      </c>
      <c r="AB216" s="1">
        <v>213.78899999999999</v>
      </c>
      <c r="AC216" s="1">
        <v>-2.8109999999999999</v>
      </c>
      <c r="AE216" s="1">
        <v>213.84800000000001</v>
      </c>
      <c r="AF216" s="1">
        <v>-2.444</v>
      </c>
      <c r="AL216" s="1">
        <v>213.83799999999999</v>
      </c>
      <c r="AM216" s="1">
        <v>0.48749999999999999</v>
      </c>
      <c r="AR216" s="1">
        <v>213.76400000000001</v>
      </c>
      <c r="AS216" s="1">
        <v>-3.7250000000000001</v>
      </c>
    </row>
    <row r="217" spans="1:45" x14ac:dyDescent="0.2">
      <c r="A217" s="1">
        <v>214.95400000000001</v>
      </c>
      <c r="B217" s="1">
        <v>7.992</v>
      </c>
      <c r="D217" s="1">
        <v>214.87299999999999</v>
      </c>
      <c r="E217" s="1">
        <v>2.4809999999999999</v>
      </c>
      <c r="G217" s="1">
        <v>214.87799999999999</v>
      </c>
      <c r="H217" s="1">
        <v>1.716</v>
      </c>
      <c r="J217" s="1">
        <v>214.84100000000001</v>
      </c>
      <c r="K217" s="1">
        <v>3.4045000000000001</v>
      </c>
      <c r="M217" s="1">
        <v>214.917</v>
      </c>
      <c r="N217" s="1">
        <v>-3.2549999999999999</v>
      </c>
      <c r="P217" s="1">
        <v>214.80500000000001</v>
      </c>
      <c r="Q217" s="1">
        <v>-0.33700000000000002</v>
      </c>
      <c r="S217" s="1">
        <v>214.74299999999999</v>
      </c>
      <c r="T217" s="1">
        <v>-1.5669999999999999</v>
      </c>
      <c r="V217" s="1">
        <v>214.79400000000001</v>
      </c>
      <c r="W217" s="1">
        <v>-1.7224999999999999</v>
      </c>
      <c r="Y217" s="1">
        <v>214.774</v>
      </c>
      <c r="Z217" s="1">
        <v>-1.569</v>
      </c>
      <c r="AB217" s="1">
        <v>214.79400000000001</v>
      </c>
      <c r="AC217" s="1">
        <v>-2.8140000000000001</v>
      </c>
      <c r="AE217" s="1">
        <v>214.85599999999999</v>
      </c>
      <c r="AF217" s="1">
        <v>-2.4460000000000002</v>
      </c>
      <c r="AL217" s="1">
        <v>214.84399999999999</v>
      </c>
      <c r="AM217" s="1">
        <v>0.41099999999999998</v>
      </c>
      <c r="AR217" s="1">
        <v>214.76900000000001</v>
      </c>
      <c r="AS217" s="1">
        <v>-3.7254999999999998</v>
      </c>
    </row>
    <row r="218" spans="1:45" x14ac:dyDescent="0.2">
      <c r="A218" s="1">
        <v>215.96</v>
      </c>
      <c r="B218" s="1">
        <v>7.9325000000000001</v>
      </c>
      <c r="D218" s="1">
        <v>215.87799999999999</v>
      </c>
      <c r="E218" s="1">
        <v>2.4015</v>
      </c>
      <c r="G218" s="1">
        <v>215.88300000000001</v>
      </c>
      <c r="H218" s="1">
        <v>1.6459999999999999</v>
      </c>
      <c r="J218" s="1">
        <v>215.845</v>
      </c>
      <c r="K218" s="1">
        <v>3.3224999999999998</v>
      </c>
      <c r="M218" s="1">
        <v>215.92400000000001</v>
      </c>
      <c r="N218" s="1">
        <v>-3.3184999999999998</v>
      </c>
      <c r="P218" s="1">
        <v>215.81</v>
      </c>
      <c r="Q218" s="1">
        <v>-0.34200000000000003</v>
      </c>
      <c r="S218" s="1">
        <v>215.74700000000001</v>
      </c>
      <c r="T218" s="1">
        <v>-1.573</v>
      </c>
      <c r="V218" s="1">
        <v>215.80099999999999</v>
      </c>
      <c r="W218" s="1">
        <v>-1.7095</v>
      </c>
      <c r="Y218" s="1">
        <v>215.779</v>
      </c>
      <c r="Z218" s="1">
        <v>-1.5580000000000001</v>
      </c>
      <c r="AB218" s="1">
        <v>215.80099999999999</v>
      </c>
      <c r="AC218" s="1">
        <v>-2.8165</v>
      </c>
      <c r="AE218" s="1">
        <v>215.86600000000001</v>
      </c>
      <c r="AF218" s="1">
        <v>-2.4390000000000001</v>
      </c>
      <c r="AL218" s="1">
        <v>215.84800000000001</v>
      </c>
      <c r="AM218" s="1">
        <v>0.32800000000000001</v>
      </c>
      <c r="AR218" s="1">
        <v>215.773</v>
      </c>
      <c r="AS218" s="1">
        <v>-3.7269999999999999</v>
      </c>
    </row>
    <row r="219" spans="1:45" x14ac:dyDescent="0.2">
      <c r="A219" s="1">
        <v>216.965</v>
      </c>
      <c r="B219" s="1">
        <v>7.8704999999999998</v>
      </c>
      <c r="D219" s="1">
        <v>216.88300000000001</v>
      </c>
      <c r="E219" s="1">
        <v>2.3170000000000002</v>
      </c>
      <c r="G219" s="1">
        <v>216.88900000000001</v>
      </c>
      <c r="H219" s="1">
        <v>1.5740000000000001</v>
      </c>
      <c r="J219" s="1">
        <v>216.85300000000001</v>
      </c>
      <c r="K219" s="1">
        <v>3.2385000000000002</v>
      </c>
      <c r="M219" s="1">
        <v>216.93100000000001</v>
      </c>
      <c r="N219" s="1">
        <v>-3.3855</v>
      </c>
      <c r="P219" s="1">
        <v>216.81700000000001</v>
      </c>
      <c r="Q219" s="1">
        <v>-0.33800000000000002</v>
      </c>
      <c r="S219" s="1">
        <v>216.75399999999999</v>
      </c>
      <c r="T219" s="1">
        <v>-1.571</v>
      </c>
      <c r="V219" s="1">
        <v>216.80600000000001</v>
      </c>
      <c r="W219" s="1">
        <v>-1.7015</v>
      </c>
      <c r="Y219" s="1">
        <v>216.785</v>
      </c>
      <c r="Z219" s="1">
        <v>-1.5495000000000001</v>
      </c>
      <c r="AB219" s="1">
        <v>216.80799999999999</v>
      </c>
      <c r="AC219" s="1">
        <v>-2.81</v>
      </c>
      <c r="AE219" s="1">
        <v>216.87200000000001</v>
      </c>
      <c r="AF219" s="1">
        <v>-2.4580000000000002</v>
      </c>
      <c r="AL219" s="1">
        <v>216.85499999999999</v>
      </c>
      <c r="AM219" s="1">
        <v>0.2455</v>
      </c>
      <c r="AR219" s="1">
        <v>216.77799999999999</v>
      </c>
      <c r="AS219" s="1">
        <v>-3.7275</v>
      </c>
    </row>
    <row r="220" spans="1:45" x14ac:dyDescent="0.2">
      <c r="A220" s="1">
        <v>217.97</v>
      </c>
      <c r="B220" s="1">
        <v>7.8159999999999998</v>
      </c>
      <c r="D220" s="1">
        <v>217.88800000000001</v>
      </c>
      <c r="E220" s="1">
        <v>2.2410000000000001</v>
      </c>
      <c r="G220" s="1">
        <v>217.89400000000001</v>
      </c>
      <c r="H220" s="1">
        <v>1.4964999999999999</v>
      </c>
      <c r="J220" s="1">
        <v>217.863</v>
      </c>
      <c r="K220" s="1">
        <v>3.1575000000000002</v>
      </c>
      <c r="M220" s="1">
        <v>217.93799999999999</v>
      </c>
      <c r="N220" s="1">
        <v>-3.45</v>
      </c>
      <c r="P220" s="1">
        <v>217.82</v>
      </c>
      <c r="Q220" s="1">
        <v>-0.33</v>
      </c>
      <c r="S220" s="1">
        <v>217.762</v>
      </c>
      <c r="T220" s="1">
        <v>-1.5720000000000001</v>
      </c>
      <c r="V220" s="1">
        <v>217.81200000000001</v>
      </c>
      <c r="W220" s="1">
        <v>-1.6870000000000001</v>
      </c>
      <c r="Y220" s="1">
        <v>217.791</v>
      </c>
      <c r="Z220" s="1">
        <v>-1.5469999999999999</v>
      </c>
      <c r="AB220" s="1">
        <v>217.81399999999999</v>
      </c>
      <c r="AC220" s="1">
        <v>-2.7989999999999999</v>
      </c>
      <c r="AE220" s="1">
        <v>217.87899999999999</v>
      </c>
      <c r="AF220" s="1">
        <v>-2.4754999999999998</v>
      </c>
      <c r="AL220" s="1">
        <v>217.86099999999999</v>
      </c>
      <c r="AM220" s="1">
        <v>0.16550000000000001</v>
      </c>
      <c r="AR220" s="1">
        <v>217.78299999999999</v>
      </c>
      <c r="AS220" s="1">
        <v>-3.7275</v>
      </c>
    </row>
    <row r="221" spans="1:45" x14ac:dyDescent="0.2">
      <c r="A221" s="1">
        <v>218.976</v>
      </c>
      <c r="B221" s="1">
        <v>7.758</v>
      </c>
      <c r="D221" s="1">
        <v>218.892</v>
      </c>
      <c r="E221" s="1">
        <v>2.1625000000000001</v>
      </c>
      <c r="G221" s="1">
        <v>218.899</v>
      </c>
      <c r="H221" s="1">
        <v>1.43</v>
      </c>
      <c r="J221" s="1">
        <v>218.869</v>
      </c>
      <c r="K221" s="1">
        <v>3.0830000000000002</v>
      </c>
      <c r="M221" s="1">
        <v>218.94399999999999</v>
      </c>
      <c r="N221" s="1">
        <v>-3.5070000000000001</v>
      </c>
      <c r="P221" s="1">
        <v>218.82599999999999</v>
      </c>
      <c r="Q221" s="1">
        <v>-0.33100000000000002</v>
      </c>
      <c r="S221" s="1">
        <v>218.768</v>
      </c>
      <c r="T221" s="1">
        <v>-1.5740000000000001</v>
      </c>
      <c r="V221" s="1">
        <v>218.82</v>
      </c>
      <c r="W221" s="1">
        <v>-1.6870000000000001</v>
      </c>
      <c r="Y221" s="1">
        <v>218.798</v>
      </c>
      <c r="Z221" s="1">
        <v>-1.54</v>
      </c>
      <c r="AB221" s="1">
        <v>218.81800000000001</v>
      </c>
      <c r="AC221" s="1">
        <v>-2.7995000000000001</v>
      </c>
      <c r="AE221" s="1">
        <v>218.88300000000001</v>
      </c>
      <c r="AF221" s="1">
        <v>-2.4820000000000002</v>
      </c>
      <c r="AL221" s="1">
        <v>218.86600000000001</v>
      </c>
      <c r="AM221" s="1">
        <v>8.3500000000000005E-2</v>
      </c>
      <c r="AR221" s="1">
        <v>218.78899999999999</v>
      </c>
      <c r="AS221" s="1">
        <v>-3.7320000000000002</v>
      </c>
    </row>
    <row r="222" spans="1:45" x14ac:dyDescent="0.2">
      <c r="A222" s="1">
        <v>219.98099999999999</v>
      </c>
      <c r="B222" s="1">
        <v>7.6989999999999998</v>
      </c>
      <c r="D222" s="1">
        <v>219.898</v>
      </c>
      <c r="E222" s="1">
        <v>2.0874999999999999</v>
      </c>
      <c r="G222" s="1">
        <v>219.904</v>
      </c>
      <c r="H222" s="1">
        <v>1.3474999999999999</v>
      </c>
      <c r="J222" s="1">
        <v>219.876</v>
      </c>
      <c r="K222" s="1">
        <v>3.0059999999999998</v>
      </c>
      <c r="M222" s="1">
        <v>219.952</v>
      </c>
      <c r="N222" s="1">
        <v>-3.5775000000000001</v>
      </c>
      <c r="P222" s="1">
        <v>219.83099999999999</v>
      </c>
      <c r="Q222" s="1">
        <v>-0.32350000000000001</v>
      </c>
      <c r="S222" s="1">
        <v>219.773</v>
      </c>
      <c r="T222" s="1">
        <v>-1.5774999999999999</v>
      </c>
      <c r="V222" s="1">
        <v>219.83199999999999</v>
      </c>
      <c r="W222" s="1">
        <v>-1.675</v>
      </c>
      <c r="Y222" s="1">
        <v>219.804</v>
      </c>
      <c r="Z222" s="1">
        <v>-1.5335000000000001</v>
      </c>
      <c r="AB222" s="1">
        <v>219.822</v>
      </c>
      <c r="AC222" s="1">
        <v>-2.798</v>
      </c>
      <c r="AE222" s="1">
        <v>219.88800000000001</v>
      </c>
      <c r="AF222" s="1">
        <v>-2.4935</v>
      </c>
      <c r="AL222" s="1">
        <v>219.87</v>
      </c>
      <c r="AM222" s="1">
        <v>-1E-3</v>
      </c>
      <c r="AR222" s="1">
        <v>219.79400000000001</v>
      </c>
      <c r="AS222" s="1">
        <v>-3.7315</v>
      </c>
    </row>
    <row r="223" spans="1:45" x14ac:dyDescent="0.2">
      <c r="A223" s="1">
        <v>220.98599999999999</v>
      </c>
      <c r="B223" s="1">
        <v>7.6390000000000002</v>
      </c>
      <c r="D223" s="1">
        <v>220.904</v>
      </c>
      <c r="E223" s="1">
        <v>2.0059999999999998</v>
      </c>
      <c r="G223" s="1">
        <v>220.90899999999999</v>
      </c>
      <c r="H223" s="1">
        <v>1.2765</v>
      </c>
      <c r="J223" s="1">
        <v>220.881</v>
      </c>
      <c r="K223" s="1">
        <v>2.9335</v>
      </c>
      <c r="M223" s="1">
        <v>220.958</v>
      </c>
      <c r="N223" s="1">
        <v>-3.6435</v>
      </c>
      <c r="P223" s="1">
        <v>220.83600000000001</v>
      </c>
      <c r="Q223" s="1">
        <v>-0.318</v>
      </c>
      <c r="S223" s="1">
        <v>220.77799999999999</v>
      </c>
      <c r="T223" s="1">
        <v>-1.583</v>
      </c>
      <c r="V223" s="1">
        <v>220.84</v>
      </c>
      <c r="W223" s="1">
        <v>-1.671</v>
      </c>
      <c r="Y223" s="1">
        <v>220.81</v>
      </c>
      <c r="Z223" s="1">
        <v>-1.5349999999999999</v>
      </c>
      <c r="AB223" s="1">
        <v>220.82900000000001</v>
      </c>
      <c r="AC223" s="1">
        <v>-2.7890000000000001</v>
      </c>
      <c r="AE223" s="1">
        <v>220.893</v>
      </c>
      <c r="AF223" s="1">
        <v>-2.5070000000000001</v>
      </c>
      <c r="AL223" s="1">
        <v>220.876</v>
      </c>
      <c r="AM223" s="1">
        <v>-7.0000000000000007E-2</v>
      </c>
      <c r="AR223" s="1">
        <v>220.79900000000001</v>
      </c>
      <c r="AS223" s="1">
        <v>-3.7280000000000002</v>
      </c>
    </row>
    <row r="224" spans="1:45" x14ac:dyDescent="0.2">
      <c r="A224" s="1">
        <v>221.99199999999999</v>
      </c>
      <c r="B224" s="1">
        <v>7.5869999999999997</v>
      </c>
      <c r="D224" s="1">
        <v>221.90700000000001</v>
      </c>
      <c r="E224" s="1">
        <v>1.9245000000000001</v>
      </c>
      <c r="G224" s="1">
        <v>221.91499999999999</v>
      </c>
      <c r="H224" s="1">
        <v>1.1950000000000001</v>
      </c>
      <c r="J224" s="1">
        <v>221.88800000000001</v>
      </c>
      <c r="K224" s="1">
        <v>2.8584999999999998</v>
      </c>
      <c r="M224" s="1">
        <v>221.964</v>
      </c>
      <c r="N224" s="1">
        <v>-3.7174999999999998</v>
      </c>
      <c r="P224" s="1">
        <v>221.84200000000001</v>
      </c>
      <c r="Q224" s="1">
        <v>-0.32</v>
      </c>
      <c r="S224" s="1">
        <v>221.78399999999999</v>
      </c>
      <c r="T224" s="1">
        <v>-1.5865</v>
      </c>
      <c r="V224" s="1">
        <v>221.845</v>
      </c>
      <c r="W224" s="1">
        <v>-1.6679999999999999</v>
      </c>
      <c r="Y224" s="1">
        <v>221.81700000000001</v>
      </c>
      <c r="Z224" s="1">
        <v>-1.5315000000000001</v>
      </c>
      <c r="AB224" s="1">
        <v>221.83799999999999</v>
      </c>
      <c r="AC224" s="1">
        <v>-2.7890000000000001</v>
      </c>
      <c r="AE224" s="1">
        <v>221.934</v>
      </c>
      <c r="AF224" s="1">
        <v>-2.5150000000000001</v>
      </c>
      <c r="AL224" s="1">
        <v>221.88300000000001</v>
      </c>
      <c r="AM224" s="1">
        <v>-0.14849999999999999</v>
      </c>
      <c r="AR224" s="1">
        <v>221.80699999999999</v>
      </c>
      <c r="AS224" s="1">
        <v>-3.7360000000000002</v>
      </c>
    </row>
    <row r="225" spans="1:45" x14ac:dyDescent="0.2">
      <c r="A225" s="1">
        <v>222.99799999999999</v>
      </c>
      <c r="B225" s="1">
        <v>7.5235000000000003</v>
      </c>
      <c r="D225" s="1">
        <v>222.91499999999999</v>
      </c>
      <c r="E225" s="1">
        <v>1.8525</v>
      </c>
      <c r="G225" s="1">
        <v>222.92099999999999</v>
      </c>
      <c r="H225" s="1">
        <v>1.1294999999999999</v>
      </c>
      <c r="J225" s="1">
        <v>222.898</v>
      </c>
      <c r="K225" s="1">
        <v>2.7745000000000002</v>
      </c>
      <c r="M225" s="1">
        <v>222.96799999999999</v>
      </c>
      <c r="N225" s="1">
        <v>-3.786</v>
      </c>
      <c r="P225" s="1">
        <v>222.84700000000001</v>
      </c>
      <c r="Q225" s="1">
        <v>-0.32650000000000001</v>
      </c>
      <c r="S225" s="1">
        <v>222.786</v>
      </c>
      <c r="T225" s="1">
        <v>-1.5914999999999999</v>
      </c>
      <c r="V225" s="1">
        <v>222.851</v>
      </c>
      <c r="W225" s="1">
        <v>-1.6659999999999999</v>
      </c>
      <c r="Y225" s="1">
        <v>222.82300000000001</v>
      </c>
      <c r="Z225" s="1">
        <v>-1.5285</v>
      </c>
      <c r="AB225" s="1">
        <v>222.84299999999999</v>
      </c>
      <c r="AC225" s="1">
        <v>-2.7789999999999999</v>
      </c>
      <c r="AE225" s="1">
        <v>222.93799999999999</v>
      </c>
      <c r="AF225" s="1">
        <v>-2.512</v>
      </c>
      <c r="AL225" s="1">
        <v>222.887</v>
      </c>
      <c r="AM225" s="1">
        <v>-0.23050000000000001</v>
      </c>
      <c r="AR225" s="1">
        <v>222.81399999999999</v>
      </c>
      <c r="AS225" s="1">
        <v>-3.734</v>
      </c>
    </row>
    <row r="226" spans="1:45" x14ac:dyDescent="0.2">
      <c r="A226" s="1">
        <v>224.005</v>
      </c>
      <c r="B226" s="1">
        <v>7.4684999999999997</v>
      </c>
      <c r="D226" s="1">
        <v>223.92099999999999</v>
      </c>
      <c r="E226" s="1">
        <v>1.7745</v>
      </c>
      <c r="G226" s="1">
        <v>223.928</v>
      </c>
      <c r="H226" s="1">
        <v>1.0609999999999999</v>
      </c>
      <c r="J226" s="1">
        <v>223.904</v>
      </c>
      <c r="K226" s="1">
        <v>2.6909999999999998</v>
      </c>
      <c r="M226" s="1">
        <v>223.97499999999999</v>
      </c>
      <c r="N226" s="1">
        <v>-3.8664999999999998</v>
      </c>
      <c r="P226" s="1">
        <v>223.85499999999999</v>
      </c>
      <c r="Q226" s="1">
        <v>-0.32800000000000001</v>
      </c>
      <c r="S226" s="1">
        <v>223.791</v>
      </c>
      <c r="T226" s="1">
        <v>-1.5920000000000001</v>
      </c>
      <c r="V226" s="1">
        <v>223.858</v>
      </c>
      <c r="W226" s="1">
        <v>-1.667</v>
      </c>
      <c r="Y226" s="1">
        <v>223.828</v>
      </c>
      <c r="Z226" s="1">
        <v>-1.526</v>
      </c>
      <c r="AB226" s="1">
        <v>223.87299999999999</v>
      </c>
      <c r="AC226" s="1">
        <v>-2.7675000000000001</v>
      </c>
      <c r="AE226" s="1">
        <v>223.94200000000001</v>
      </c>
      <c r="AF226" s="1">
        <v>-2.5154999999999998</v>
      </c>
      <c r="AL226" s="1">
        <v>223.892</v>
      </c>
      <c r="AM226" s="1">
        <v>-0.30399999999999999</v>
      </c>
      <c r="AR226" s="1">
        <v>223.822</v>
      </c>
      <c r="AS226" s="1">
        <v>-3.7524999999999999</v>
      </c>
    </row>
    <row r="227" spans="1:45" x14ac:dyDescent="0.2">
      <c r="A227" s="1">
        <v>225.011</v>
      </c>
      <c r="B227" s="1">
        <v>7.4130000000000003</v>
      </c>
      <c r="D227" s="1">
        <v>224.92699999999999</v>
      </c>
      <c r="E227" s="1">
        <v>1.6955</v>
      </c>
      <c r="G227" s="1">
        <v>224.935</v>
      </c>
      <c r="H227" s="1">
        <v>0.98650000000000004</v>
      </c>
      <c r="J227" s="1">
        <v>224.90899999999999</v>
      </c>
      <c r="K227" s="1">
        <v>2.6160000000000001</v>
      </c>
      <c r="M227" s="1">
        <v>224.982</v>
      </c>
      <c r="N227" s="1">
        <v>-3.9319999999999999</v>
      </c>
      <c r="P227" s="1">
        <v>224.863</v>
      </c>
      <c r="Q227" s="1">
        <v>-0.317</v>
      </c>
      <c r="S227" s="1">
        <v>224.798</v>
      </c>
      <c r="T227" s="1">
        <v>-1.5974999999999999</v>
      </c>
      <c r="V227" s="1">
        <v>224.86799999999999</v>
      </c>
      <c r="W227" s="1">
        <v>-1.6595</v>
      </c>
      <c r="Y227" s="1">
        <v>224.83500000000001</v>
      </c>
      <c r="Z227" s="1">
        <v>-1.524</v>
      </c>
      <c r="AB227" s="1">
        <v>224.87799999999999</v>
      </c>
      <c r="AC227" s="1">
        <v>-2.7629999999999999</v>
      </c>
      <c r="AE227" s="1">
        <v>224.947</v>
      </c>
      <c r="AF227" s="1">
        <v>-2.5085000000000002</v>
      </c>
      <c r="AL227" s="1">
        <v>224.899</v>
      </c>
      <c r="AM227" s="1">
        <v>-0.38750000000000001</v>
      </c>
      <c r="AR227" s="1">
        <v>224.828</v>
      </c>
      <c r="AS227" s="1">
        <v>-3.7570000000000001</v>
      </c>
    </row>
    <row r="228" spans="1:45" x14ac:dyDescent="0.2">
      <c r="A228" s="1">
        <v>226.01499999999999</v>
      </c>
      <c r="B228" s="1">
        <v>7.35</v>
      </c>
      <c r="D228" s="1">
        <v>225.934</v>
      </c>
      <c r="E228" s="1">
        <v>1.6185</v>
      </c>
      <c r="G228" s="1">
        <v>225.94300000000001</v>
      </c>
      <c r="H228" s="1">
        <v>0.91400000000000003</v>
      </c>
      <c r="J228" s="1">
        <v>225.917</v>
      </c>
      <c r="K228" s="1">
        <v>2.5409999999999999</v>
      </c>
      <c r="M228" s="1">
        <v>225.98699999999999</v>
      </c>
      <c r="N228" s="1">
        <v>-3.9950000000000001</v>
      </c>
      <c r="P228" s="1">
        <v>225.869</v>
      </c>
      <c r="Q228" s="1">
        <v>-0.3085</v>
      </c>
      <c r="S228" s="1">
        <v>225.804</v>
      </c>
      <c r="T228" s="1">
        <v>-1.5980000000000001</v>
      </c>
      <c r="V228" s="1">
        <v>225.87700000000001</v>
      </c>
      <c r="W228" s="1">
        <v>-1.6559999999999999</v>
      </c>
      <c r="Y228" s="1">
        <v>225.839</v>
      </c>
      <c r="Z228" s="1">
        <v>-1.5269999999999999</v>
      </c>
      <c r="AB228" s="1">
        <v>225.88200000000001</v>
      </c>
      <c r="AC228" s="1">
        <v>-2.7719999999999998</v>
      </c>
      <c r="AE228" s="1">
        <v>225.95400000000001</v>
      </c>
      <c r="AF228" s="1">
        <v>-2.5089999999999999</v>
      </c>
      <c r="AL228" s="1">
        <v>225.90700000000001</v>
      </c>
      <c r="AM228" s="1">
        <v>-0.47</v>
      </c>
      <c r="AR228" s="1">
        <v>225.833</v>
      </c>
      <c r="AS228" s="1">
        <v>-3.7650000000000001</v>
      </c>
    </row>
    <row r="229" spans="1:45" x14ac:dyDescent="0.2">
      <c r="A229" s="1">
        <v>227.01900000000001</v>
      </c>
      <c r="B229" s="1">
        <v>7.2919999999999998</v>
      </c>
      <c r="D229" s="1">
        <v>226.93799999999999</v>
      </c>
      <c r="E229" s="1">
        <v>1.5489999999999999</v>
      </c>
      <c r="G229" s="1">
        <v>226.95099999999999</v>
      </c>
      <c r="H229" s="1">
        <v>0.83599999999999997</v>
      </c>
      <c r="J229" s="1">
        <v>226.922</v>
      </c>
      <c r="K229" s="1">
        <v>2.4634999999999998</v>
      </c>
      <c r="M229" s="1">
        <v>226.99299999999999</v>
      </c>
      <c r="N229" s="1">
        <v>-4.0599999999999996</v>
      </c>
      <c r="P229" s="1">
        <v>226.874</v>
      </c>
      <c r="Q229" s="1">
        <v>-0.314</v>
      </c>
      <c r="S229" s="1">
        <v>226.81100000000001</v>
      </c>
      <c r="T229" s="1">
        <v>-1.6040000000000001</v>
      </c>
      <c r="V229" s="1">
        <v>226.88399999999999</v>
      </c>
      <c r="W229" s="1">
        <v>-1.6639999999999999</v>
      </c>
      <c r="Y229" s="1">
        <v>226.84299999999999</v>
      </c>
      <c r="Z229" s="1">
        <v>-1.5269999999999999</v>
      </c>
      <c r="AB229" s="1">
        <v>226.88800000000001</v>
      </c>
      <c r="AC229" s="1">
        <v>-2.7765</v>
      </c>
      <c r="AE229" s="1">
        <v>226.959</v>
      </c>
      <c r="AF229" s="1">
        <v>-2.5325000000000002</v>
      </c>
      <c r="AL229" s="1">
        <v>226.91300000000001</v>
      </c>
      <c r="AM229" s="1">
        <v>-0.54449999999999998</v>
      </c>
      <c r="AR229" s="1">
        <v>226.83699999999999</v>
      </c>
      <c r="AS229" s="1">
        <v>-3.7715000000000001</v>
      </c>
    </row>
    <row r="230" spans="1:45" x14ac:dyDescent="0.2">
      <c r="A230" s="1">
        <v>228.02500000000001</v>
      </c>
      <c r="B230" s="1">
        <v>7.2309999999999999</v>
      </c>
      <c r="D230" s="1">
        <v>227.94300000000001</v>
      </c>
      <c r="E230" s="1">
        <v>1.4744999999999999</v>
      </c>
      <c r="G230" s="1">
        <v>227.95699999999999</v>
      </c>
      <c r="H230" s="1">
        <v>0.75949999999999995</v>
      </c>
      <c r="J230" s="1">
        <v>227.929</v>
      </c>
      <c r="K230" s="1">
        <v>2.39</v>
      </c>
      <c r="M230" s="1">
        <v>227.999</v>
      </c>
      <c r="N230" s="1">
        <v>-4.1349999999999998</v>
      </c>
      <c r="P230" s="1">
        <v>227.87899999999999</v>
      </c>
      <c r="Q230" s="1">
        <v>-0.32</v>
      </c>
      <c r="S230" s="1">
        <v>227.816</v>
      </c>
      <c r="T230" s="1">
        <v>-1.6025</v>
      </c>
      <c r="V230" s="1">
        <v>227.88800000000001</v>
      </c>
      <c r="W230" s="1">
        <v>-1.66</v>
      </c>
      <c r="Y230" s="1">
        <v>227.85400000000001</v>
      </c>
      <c r="Z230" s="1">
        <v>-1.5315000000000001</v>
      </c>
      <c r="AB230" s="1">
        <v>227.89400000000001</v>
      </c>
      <c r="AC230" s="1">
        <v>-2.7770000000000001</v>
      </c>
      <c r="AE230" s="1">
        <v>227.964</v>
      </c>
      <c r="AF230" s="1">
        <v>-2.5554999999999999</v>
      </c>
      <c r="AL230" s="1">
        <v>227.92</v>
      </c>
      <c r="AM230" s="1">
        <v>-0.62649999999999995</v>
      </c>
      <c r="AR230" s="1">
        <v>227.84200000000001</v>
      </c>
      <c r="AS230" s="1">
        <v>-3.7795000000000001</v>
      </c>
    </row>
    <row r="231" spans="1:45" x14ac:dyDescent="0.2">
      <c r="A231" s="1">
        <v>229.03100000000001</v>
      </c>
      <c r="B231" s="1">
        <v>7.1755000000000004</v>
      </c>
      <c r="D231" s="1">
        <v>228.94800000000001</v>
      </c>
      <c r="E231" s="1">
        <v>1.399</v>
      </c>
      <c r="G231" s="1">
        <v>228.964</v>
      </c>
      <c r="H231" s="1">
        <v>0.68300000000000005</v>
      </c>
      <c r="J231" s="1">
        <v>228.93600000000001</v>
      </c>
      <c r="K231" s="1">
        <v>2.319</v>
      </c>
      <c r="M231" s="1">
        <v>229.006</v>
      </c>
      <c r="N231" s="1">
        <v>-4.1985000000000001</v>
      </c>
      <c r="P231" s="1">
        <v>228.88499999999999</v>
      </c>
      <c r="Q231" s="1">
        <v>-0.33400000000000002</v>
      </c>
      <c r="S231" s="1">
        <v>228.822</v>
      </c>
      <c r="T231" s="1">
        <v>-1.601</v>
      </c>
      <c r="V231" s="1">
        <v>228.89400000000001</v>
      </c>
      <c r="W231" s="1">
        <v>-1.6615</v>
      </c>
      <c r="Y231" s="1">
        <v>228.85900000000001</v>
      </c>
      <c r="Z231" s="1">
        <v>-1.5335000000000001</v>
      </c>
      <c r="AB231" s="1">
        <v>228.9</v>
      </c>
      <c r="AC231" s="1">
        <v>-2.7875000000000001</v>
      </c>
      <c r="AE231" s="1">
        <v>228.96799999999999</v>
      </c>
      <c r="AF231" s="1">
        <v>-2.589</v>
      </c>
      <c r="AL231" s="1">
        <v>228.92599999999999</v>
      </c>
      <c r="AM231" s="1">
        <v>-0.71050000000000002</v>
      </c>
      <c r="AR231" s="1">
        <v>228.84399999999999</v>
      </c>
      <c r="AS231" s="1">
        <v>-3.7785000000000002</v>
      </c>
    </row>
    <row r="232" spans="1:45" x14ac:dyDescent="0.2">
      <c r="A232" s="1">
        <v>230.03700000000001</v>
      </c>
      <c r="B232" s="1">
        <v>7.1239999999999997</v>
      </c>
      <c r="D232" s="1">
        <v>229.953</v>
      </c>
      <c r="E232" s="1">
        <v>1.3205</v>
      </c>
      <c r="G232" s="1">
        <v>229.97</v>
      </c>
      <c r="H232" s="1">
        <v>0.60650000000000004</v>
      </c>
      <c r="J232" s="1">
        <v>229.94</v>
      </c>
      <c r="K232" s="1">
        <v>2.2509999999999999</v>
      </c>
      <c r="M232" s="1">
        <v>230.012</v>
      </c>
      <c r="N232" s="1">
        <v>-4.2610000000000001</v>
      </c>
      <c r="P232" s="1">
        <v>229.88900000000001</v>
      </c>
      <c r="Q232" s="1">
        <v>-0.33800000000000002</v>
      </c>
      <c r="S232" s="1">
        <v>229.82599999999999</v>
      </c>
      <c r="T232" s="1">
        <v>-1.6054999999999999</v>
      </c>
      <c r="V232" s="1">
        <v>229.90199999999999</v>
      </c>
      <c r="W232" s="1">
        <v>-1.6725000000000001</v>
      </c>
      <c r="Y232" s="1">
        <v>229.864</v>
      </c>
      <c r="Z232" s="1">
        <v>-1.5325</v>
      </c>
      <c r="AB232" s="1">
        <v>229.904</v>
      </c>
      <c r="AC232" s="1">
        <v>-2.7959999999999998</v>
      </c>
      <c r="AE232" s="1">
        <v>229.97399999999999</v>
      </c>
      <c r="AF232" s="1">
        <v>-2.6040000000000001</v>
      </c>
      <c r="AL232" s="1">
        <v>229.93199999999999</v>
      </c>
      <c r="AM232" s="1">
        <v>-0.78700000000000003</v>
      </c>
      <c r="AR232" s="1">
        <v>229.851</v>
      </c>
      <c r="AS232" s="1">
        <v>-3.78</v>
      </c>
    </row>
    <row r="233" spans="1:45" x14ac:dyDescent="0.2">
      <c r="A233" s="1">
        <v>231.04499999999999</v>
      </c>
      <c r="B233" s="1">
        <v>7.0730000000000004</v>
      </c>
      <c r="D233" s="1">
        <v>230.95699999999999</v>
      </c>
      <c r="E233" s="1">
        <v>1.2415</v>
      </c>
      <c r="G233" s="1">
        <v>230.97300000000001</v>
      </c>
      <c r="H233" s="1">
        <v>0.53849999999999998</v>
      </c>
      <c r="J233" s="1">
        <v>230.94800000000001</v>
      </c>
      <c r="K233" s="1">
        <v>2.1804999999999999</v>
      </c>
      <c r="M233" s="1">
        <v>231.017</v>
      </c>
      <c r="N233" s="1">
        <v>-4.3369999999999997</v>
      </c>
      <c r="P233" s="1">
        <v>230.89500000000001</v>
      </c>
      <c r="Q233" s="1">
        <v>-0.35799999999999998</v>
      </c>
      <c r="S233" s="1">
        <v>230.83199999999999</v>
      </c>
      <c r="T233" s="1">
        <v>-1.6065</v>
      </c>
      <c r="V233" s="1">
        <v>230.90799999999999</v>
      </c>
      <c r="W233" s="1">
        <v>-1.6725000000000001</v>
      </c>
      <c r="Y233" s="1">
        <v>230.87100000000001</v>
      </c>
      <c r="Z233" s="1">
        <v>-1.53</v>
      </c>
      <c r="AB233" s="1">
        <v>230.91</v>
      </c>
      <c r="AC233" s="1">
        <v>-2.8029999999999999</v>
      </c>
      <c r="AE233" s="1">
        <v>230.97900000000001</v>
      </c>
      <c r="AF233" s="1">
        <v>-2.6139999999999999</v>
      </c>
      <c r="AL233" s="1">
        <v>230.941</v>
      </c>
      <c r="AM233" s="1">
        <v>-0.86199999999999999</v>
      </c>
      <c r="AR233" s="1">
        <v>230.857</v>
      </c>
      <c r="AS233" s="1">
        <v>-3.7869999999999999</v>
      </c>
    </row>
    <row r="234" spans="1:45" x14ac:dyDescent="0.2">
      <c r="A234" s="1">
        <v>232.048</v>
      </c>
      <c r="B234" s="1">
        <v>7.0155000000000003</v>
      </c>
      <c r="D234" s="1">
        <v>231.96199999999999</v>
      </c>
      <c r="E234" s="1">
        <v>1.171</v>
      </c>
      <c r="G234" s="1">
        <v>231.97900000000001</v>
      </c>
      <c r="H234" s="1">
        <v>0.46250000000000002</v>
      </c>
      <c r="J234" s="1">
        <v>231.95500000000001</v>
      </c>
      <c r="K234" s="1">
        <v>2.1019999999999999</v>
      </c>
      <c r="M234" s="1">
        <v>232.023</v>
      </c>
      <c r="N234" s="1">
        <v>-4.3055000000000003</v>
      </c>
      <c r="P234" s="1">
        <v>231.9</v>
      </c>
      <c r="Q234" s="1">
        <v>-0.36799999999999999</v>
      </c>
      <c r="S234" s="1">
        <v>231.83600000000001</v>
      </c>
      <c r="T234" s="1">
        <v>-1.6034999999999999</v>
      </c>
      <c r="V234" s="1">
        <v>231.91300000000001</v>
      </c>
      <c r="W234" s="1">
        <v>-1.663</v>
      </c>
      <c r="Y234" s="1">
        <v>231.874</v>
      </c>
      <c r="Z234" s="1">
        <v>-1.53</v>
      </c>
      <c r="AB234" s="1">
        <v>231.91800000000001</v>
      </c>
      <c r="AC234" s="1">
        <v>-2.8119999999999998</v>
      </c>
      <c r="AE234" s="1">
        <v>231.98500000000001</v>
      </c>
      <c r="AF234" s="1">
        <v>-2.6230000000000002</v>
      </c>
      <c r="AL234" s="1">
        <v>231.95</v>
      </c>
      <c r="AM234" s="1">
        <v>-0.95150000000000001</v>
      </c>
      <c r="AR234" s="1">
        <v>231.864</v>
      </c>
      <c r="AS234" s="1">
        <v>-3.7865000000000002</v>
      </c>
    </row>
    <row r="235" spans="1:45" x14ac:dyDescent="0.2">
      <c r="A235" s="1">
        <v>233.05199999999999</v>
      </c>
      <c r="B235" s="1">
        <v>6.9515000000000002</v>
      </c>
      <c r="D235" s="1">
        <v>232.97</v>
      </c>
      <c r="E235" s="1">
        <v>1.099</v>
      </c>
      <c r="G235" s="1">
        <v>232.98599999999999</v>
      </c>
      <c r="H235" s="1">
        <v>0.38950000000000001</v>
      </c>
      <c r="J235" s="1">
        <v>232.96199999999999</v>
      </c>
      <c r="K235" s="1">
        <v>2.0065</v>
      </c>
      <c r="M235" s="1">
        <v>233.03</v>
      </c>
      <c r="N235" s="1">
        <v>-3.3774999999999999</v>
      </c>
      <c r="P235" s="1">
        <v>232.905</v>
      </c>
      <c r="Q235" s="1">
        <v>-0.38200000000000001</v>
      </c>
      <c r="S235" s="1">
        <v>232.84200000000001</v>
      </c>
      <c r="T235" s="1">
        <v>-1.615</v>
      </c>
      <c r="V235" s="1">
        <v>232.91900000000001</v>
      </c>
      <c r="W235" s="1">
        <v>-1.661</v>
      </c>
      <c r="Y235" s="1">
        <v>232.87899999999999</v>
      </c>
      <c r="Z235" s="1">
        <v>-1.53</v>
      </c>
      <c r="AB235" s="1">
        <v>232.923</v>
      </c>
      <c r="AC235" s="1">
        <v>-2.8165</v>
      </c>
      <c r="AE235" s="1">
        <v>232.989</v>
      </c>
      <c r="AF235" s="1">
        <v>-2.637</v>
      </c>
      <c r="AL235" s="1">
        <v>232.95500000000001</v>
      </c>
      <c r="AM235" s="1">
        <v>-1.036</v>
      </c>
      <c r="AR235" s="1">
        <v>232.87100000000001</v>
      </c>
      <c r="AS235" s="1">
        <v>-3.7879999999999998</v>
      </c>
    </row>
    <row r="236" spans="1:45" x14ac:dyDescent="0.2">
      <c r="A236" s="1">
        <v>234.05799999999999</v>
      </c>
      <c r="B236" s="1">
        <v>6.8914999999999997</v>
      </c>
      <c r="D236" s="1">
        <v>233.97800000000001</v>
      </c>
      <c r="E236" s="1">
        <v>1.016</v>
      </c>
      <c r="G236" s="1">
        <v>233.99199999999999</v>
      </c>
      <c r="H236" s="1">
        <v>0.3105</v>
      </c>
      <c r="J236" s="1">
        <v>233.96799999999999</v>
      </c>
      <c r="K236" s="1">
        <v>1.92</v>
      </c>
      <c r="M236" s="1">
        <v>234.036</v>
      </c>
      <c r="N236" s="1">
        <v>-2.4264999999999999</v>
      </c>
      <c r="P236" s="1">
        <v>233.911</v>
      </c>
      <c r="Q236" s="1">
        <v>-0.38400000000000001</v>
      </c>
      <c r="S236" s="1">
        <v>233.84899999999999</v>
      </c>
      <c r="T236" s="1">
        <v>-1.623</v>
      </c>
      <c r="V236" s="1">
        <v>233.92400000000001</v>
      </c>
      <c r="W236" s="1">
        <v>-1.6519999999999999</v>
      </c>
      <c r="Y236" s="1">
        <v>233.88800000000001</v>
      </c>
      <c r="Z236" s="1">
        <v>-1.5235000000000001</v>
      </c>
      <c r="AB236" s="1">
        <v>233.928</v>
      </c>
      <c r="AC236" s="1">
        <v>-2.8264999999999998</v>
      </c>
      <c r="AE236" s="1">
        <v>233.99299999999999</v>
      </c>
      <c r="AF236" s="1">
        <v>-2.6309999999999998</v>
      </c>
      <c r="AL236" s="1">
        <v>233.959</v>
      </c>
      <c r="AM236" s="1">
        <v>-1.1145</v>
      </c>
      <c r="AR236" s="1">
        <v>233.87700000000001</v>
      </c>
      <c r="AS236" s="1">
        <v>-3.7995000000000001</v>
      </c>
    </row>
    <row r="237" spans="1:45" x14ac:dyDescent="0.2">
      <c r="A237" s="1">
        <v>235.06399999999999</v>
      </c>
      <c r="B237" s="1">
        <v>6.8334999999999999</v>
      </c>
      <c r="D237" s="1">
        <v>234.98500000000001</v>
      </c>
      <c r="E237" s="1">
        <v>0.93899999999999995</v>
      </c>
      <c r="G237" s="1">
        <v>234.99700000000001</v>
      </c>
      <c r="H237" s="1">
        <v>0.23100000000000001</v>
      </c>
      <c r="J237" s="1">
        <v>234.97399999999999</v>
      </c>
      <c r="K237" s="1">
        <v>1.8465</v>
      </c>
      <c r="M237" s="1">
        <v>235.04300000000001</v>
      </c>
      <c r="N237" s="1">
        <v>-1.8160000000000001</v>
      </c>
      <c r="P237" s="1">
        <v>234.91900000000001</v>
      </c>
      <c r="Q237" s="1">
        <v>-0.375</v>
      </c>
      <c r="S237" s="1">
        <v>234.85900000000001</v>
      </c>
      <c r="T237" s="1">
        <v>-1.6174999999999999</v>
      </c>
      <c r="V237" s="1">
        <v>234.929</v>
      </c>
      <c r="W237" s="1">
        <v>-1.6535</v>
      </c>
      <c r="Y237" s="1">
        <v>234.89400000000001</v>
      </c>
      <c r="Z237" s="1">
        <v>-1.5269999999999999</v>
      </c>
      <c r="AB237" s="1">
        <v>234.93199999999999</v>
      </c>
      <c r="AC237" s="1">
        <v>-2.8330000000000002</v>
      </c>
      <c r="AE237" s="1">
        <v>234.99799999999999</v>
      </c>
      <c r="AF237" s="1">
        <v>-2.64</v>
      </c>
      <c r="AL237" s="1">
        <v>234.964</v>
      </c>
      <c r="AM237" s="1">
        <v>-1.1970000000000001</v>
      </c>
      <c r="AR237" s="1">
        <v>234.88300000000001</v>
      </c>
      <c r="AS237" s="1">
        <v>-3.8029999999999999</v>
      </c>
    </row>
    <row r="238" spans="1:45" x14ac:dyDescent="0.2">
      <c r="A238" s="1">
        <v>236.07</v>
      </c>
      <c r="B238" s="1">
        <v>6.7824999999999998</v>
      </c>
      <c r="D238" s="1">
        <v>235.99299999999999</v>
      </c>
      <c r="E238" s="1">
        <v>0.86250000000000004</v>
      </c>
      <c r="G238" s="1">
        <v>236.00399999999999</v>
      </c>
      <c r="H238" s="1">
        <v>0.161</v>
      </c>
      <c r="J238" s="1">
        <v>235.97900000000001</v>
      </c>
      <c r="K238" s="1">
        <v>1.7655000000000001</v>
      </c>
      <c r="M238" s="1">
        <v>236.048</v>
      </c>
      <c r="N238" s="1">
        <v>-1.4355</v>
      </c>
      <c r="P238" s="1">
        <v>235.92400000000001</v>
      </c>
      <c r="Q238" s="1">
        <v>-0.36499999999999999</v>
      </c>
      <c r="S238" s="1">
        <v>235.864</v>
      </c>
      <c r="T238" s="1">
        <v>-1.6074999999999999</v>
      </c>
      <c r="V238" s="1">
        <v>235.935</v>
      </c>
      <c r="W238" s="1">
        <v>-1.655</v>
      </c>
      <c r="Y238" s="1">
        <v>235.899</v>
      </c>
      <c r="Z238" s="1">
        <v>-1.5235000000000001</v>
      </c>
      <c r="AB238" s="1">
        <v>235.93799999999999</v>
      </c>
      <c r="AC238" s="1">
        <v>-2.8334999999999999</v>
      </c>
      <c r="AE238" s="1">
        <v>236.006</v>
      </c>
      <c r="AF238" s="1">
        <v>-2.649</v>
      </c>
      <c r="AL238" s="1">
        <v>235.97300000000001</v>
      </c>
      <c r="AM238" s="1">
        <v>-1.2769999999999999</v>
      </c>
      <c r="AR238" s="1">
        <v>235.88900000000001</v>
      </c>
      <c r="AS238" s="1">
        <v>-3.806</v>
      </c>
    </row>
    <row r="239" spans="1:45" x14ac:dyDescent="0.2">
      <c r="A239" s="1">
        <v>237.07499999999999</v>
      </c>
      <c r="B239" s="1">
        <v>6.7290000000000001</v>
      </c>
      <c r="D239" s="1">
        <v>236.99799999999999</v>
      </c>
      <c r="E239" s="1">
        <v>0.78600000000000003</v>
      </c>
      <c r="G239" s="1">
        <v>237.01300000000001</v>
      </c>
      <c r="H239" s="1">
        <v>6.7000000000000004E-2</v>
      </c>
      <c r="J239" s="1">
        <v>236.98500000000001</v>
      </c>
      <c r="K239" s="1">
        <v>1.6924999999999999</v>
      </c>
      <c r="M239" s="1">
        <v>237.053</v>
      </c>
      <c r="N239" s="1">
        <v>-1.1850000000000001</v>
      </c>
      <c r="P239" s="1">
        <v>236.929</v>
      </c>
      <c r="Q239" s="1">
        <v>-0.36799999999999999</v>
      </c>
      <c r="S239" s="1">
        <v>236.869</v>
      </c>
      <c r="T239" s="1">
        <v>-1.6034999999999999</v>
      </c>
      <c r="V239" s="1">
        <v>236.94300000000001</v>
      </c>
      <c r="W239" s="1">
        <v>-1.6605000000000001</v>
      </c>
      <c r="Y239" s="1">
        <v>236.905</v>
      </c>
      <c r="Z239" s="1">
        <v>-1.5309999999999999</v>
      </c>
      <c r="AB239" s="1">
        <v>236.94300000000001</v>
      </c>
      <c r="AC239" s="1">
        <v>-2.8334999999999999</v>
      </c>
      <c r="AE239" s="1">
        <v>237.012</v>
      </c>
      <c r="AF239" s="1">
        <v>-2.6480000000000001</v>
      </c>
      <c r="AL239" s="1">
        <v>236.983</v>
      </c>
      <c r="AM239" s="1">
        <v>-1.3620000000000001</v>
      </c>
      <c r="AR239" s="1">
        <v>236.899</v>
      </c>
      <c r="AS239" s="1">
        <v>-3.8094999999999999</v>
      </c>
    </row>
    <row r="240" spans="1:45" x14ac:dyDescent="0.2">
      <c r="A240" s="1">
        <v>238.08</v>
      </c>
      <c r="B240" s="1">
        <v>6.6769999999999996</v>
      </c>
      <c r="D240" s="1">
        <v>238.00200000000001</v>
      </c>
      <c r="E240" s="1">
        <v>0.71299999999999997</v>
      </c>
      <c r="G240" s="1">
        <v>238.01900000000001</v>
      </c>
      <c r="H240" s="1">
        <v>2.5000000000000001E-3</v>
      </c>
      <c r="J240" s="1">
        <v>237.99199999999999</v>
      </c>
      <c r="K240" s="1">
        <v>1.6234999999999999</v>
      </c>
      <c r="M240" s="1">
        <v>238.06200000000001</v>
      </c>
      <c r="N240" s="1">
        <v>-1.0109999999999999</v>
      </c>
      <c r="P240" s="1">
        <v>237.93899999999999</v>
      </c>
      <c r="Q240" s="1">
        <v>-0.36899999999999999</v>
      </c>
      <c r="S240" s="1">
        <v>237.874</v>
      </c>
      <c r="T240" s="1">
        <v>-1.6014999999999999</v>
      </c>
      <c r="V240" s="1">
        <v>237.95</v>
      </c>
      <c r="W240" s="1">
        <v>-1.6679999999999999</v>
      </c>
      <c r="Y240" s="1">
        <v>237.91</v>
      </c>
      <c r="Z240" s="1">
        <v>-1.5349999999999999</v>
      </c>
      <c r="AB240" s="1">
        <v>237.95</v>
      </c>
      <c r="AC240" s="1">
        <v>-2.8285</v>
      </c>
      <c r="AE240" s="1">
        <v>238.017</v>
      </c>
      <c r="AF240" s="1">
        <v>-2.6459999999999999</v>
      </c>
      <c r="AL240" s="1">
        <v>237.99100000000001</v>
      </c>
      <c r="AM240" s="1">
        <v>-1.4390000000000001</v>
      </c>
      <c r="AR240" s="1">
        <v>237.90299999999999</v>
      </c>
      <c r="AS240" s="1">
        <v>-3.8050000000000002</v>
      </c>
    </row>
    <row r="241" spans="1:45" x14ac:dyDescent="0.2">
      <c r="A241" s="1">
        <v>239.08600000000001</v>
      </c>
      <c r="B241" s="1">
        <v>6.6079999999999997</v>
      </c>
      <c r="D241" s="1">
        <v>239.00700000000001</v>
      </c>
      <c r="E241" s="1">
        <v>0.64100000000000001</v>
      </c>
      <c r="G241" s="1">
        <v>239.02799999999999</v>
      </c>
      <c r="H241" s="1">
        <v>-6.5500000000000003E-2</v>
      </c>
      <c r="J241" s="1">
        <v>238.99700000000001</v>
      </c>
      <c r="K241" s="1">
        <v>1.5469999999999999</v>
      </c>
      <c r="M241" s="1">
        <v>239.07</v>
      </c>
      <c r="N241" s="1">
        <v>-0.88749999999999996</v>
      </c>
      <c r="P241" s="1">
        <v>238.946</v>
      </c>
      <c r="Q241" s="1">
        <v>-0.36499999999999999</v>
      </c>
      <c r="S241" s="1">
        <v>238.87899999999999</v>
      </c>
      <c r="T241" s="1">
        <v>-1.5985</v>
      </c>
      <c r="V241" s="1">
        <v>238.959</v>
      </c>
      <c r="W241" s="1">
        <v>-1.6655</v>
      </c>
      <c r="Y241" s="1">
        <v>238.917</v>
      </c>
      <c r="Z241" s="1">
        <v>-1.5369999999999999</v>
      </c>
      <c r="AB241" s="1">
        <v>238.95599999999999</v>
      </c>
      <c r="AC241" s="1">
        <v>-2.8294999999999999</v>
      </c>
      <c r="AE241" s="1">
        <v>239.023</v>
      </c>
      <c r="AF241" s="1">
        <v>-2.6480000000000001</v>
      </c>
      <c r="AL241" s="1">
        <v>238.99600000000001</v>
      </c>
      <c r="AM241" s="1">
        <v>-1.5125</v>
      </c>
      <c r="AR241" s="1">
        <v>238.911</v>
      </c>
      <c r="AS241" s="1">
        <v>-3.8134999999999999</v>
      </c>
    </row>
    <row r="242" spans="1:45" x14ac:dyDescent="0.2">
      <c r="A242" s="1">
        <v>240.09</v>
      </c>
      <c r="B242" s="1">
        <v>6.5484999999999998</v>
      </c>
      <c r="D242" s="1">
        <v>240.01300000000001</v>
      </c>
      <c r="E242" s="1">
        <v>0.5645</v>
      </c>
      <c r="G242" s="1">
        <v>240.03399999999999</v>
      </c>
      <c r="H242" s="1">
        <v>-0.14299999999999999</v>
      </c>
      <c r="J242" s="1">
        <v>240.00299999999999</v>
      </c>
      <c r="K242" s="1">
        <v>1.4795</v>
      </c>
      <c r="M242" s="1">
        <v>240.07599999999999</v>
      </c>
      <c r="N242" s="1">
        <v>-0.80500000000000005</v>
      </c>
      <c r="P242" s="1">
        <v>239.95099999999999</v>
      </c>
      <c r="Q242" s="1">
        <v>-0.373</v>
      </c>
      <c r="S242" s="1">
        <v>239.88399999999999</v>
      </c>
      <c r="T242" s="1">
        <v>-1.5934999999999999</v>
      </c>
      <c r="V242" s="1">
        <v>239.96700000000001</v>
      </c>
      <c r="W242" s="1">
        <v>-1.6639999999999999</v>
      </c>
      <c r="Y242" s="1">
        <v>239.922</v>
      </c>
      <c r="Z242" s="1">
        <v>-1.5295000000000001</v>
      </c>
      <c r="AB242" s="1">
        <v>239.96299999999999</v>
      </c>
      <c r="AC242" s="1">
        <v>-2.8239999999999998</v>
      </c>
      <c r="AE242" s="1">
        <v>240.029</v>
      </c>
      <c r="AF242" s="1">
        <v>-2.6444999999999999</v>
      </c>
      <c r="AL242" s="1">
        <v>240</v>
      </c>
      <c r="AM242" s="1">
        <v>-1.6020000000000001</v>
      </c>
      <c r="AR242" s="1">
        <v>239.91900000000001</v>
      </c>
      <c r="AS242" s="1">
        <v>-3.82</v>
      </c>
    </row>
    <row r="243" spans="1:45" x14ac:dyDescent="0.2">
      <c r="A243" s="1">
        <v>241.096</v>
      </c>
      <c r="B243" s="1">
        <v>6.484</v>
      </c>
      <c r="D243" s="1">
        <v>241.02099999999999</v>
      </c>
      <c r="E243" s="1">
        <v>0.495</v>
      </c>
      <c r="G243" s="1">
        <v>241.04</v>
      </c>
      <c r="H243" s="1">
        <v>-0.2185</v>
      </c>
      <c r="J243" s="1">
        <v>241.00899999999999</v>
      </c>
      <c r="K243" s="1">
        <v>1.409</v>
      </c>
      <c r="M243" s="1">
        <v>241.08099999999999</v>
      </c>
      <c r="N243" s="1">
        <v>-0.73850000000000005</v>
      </c>
      <c r="P243" s="1">
        <v>240.958</v>
      </c>
      <c r="Q243" s="1">
        <v>-0.38</v>
      </c>
      <c r="S243" s="1">
        <v>240.88800000000001</v>
      </c>
      <c r="T243" s="1">
        <v>-1.6040000000000001</v>
      </c>
      <c r="V243" s="1">
        <v>240.97399999999999</v>
      </c>
      <c r="W243" s="1">
        <v>-1.6705000000000001</v>
      </c>
      <c r="Y243" s="1">
        <v>240.928</v>
      </c>
      <c r="Z243" s="1">
        <v>-1.5309999999999999</v>
      </c>
      <c r="AB243" s="1">
        <v>240.97</v>
      </c>
      <c r="AC243" s="1">
        <v>-2.8214999999999999</v>
      </c>
      <c r="AE243" s="1">
        <v>241.03299999999999</v>
      </c>
      <c r="AF243" s="1">
        <v>-2.637</v>
      </c>
      <c r="AL243" s="1">
        <v>241.00399999999999</v>
      </c>
      <c r="AM243" s="1">
        <v>-1.6855</v>
      </c>
      <c r="AR243" s="1">
        <v>240.928</v>
      </c>
      <c r="AS243" s="1">
        <v>-3.8214999999999999</v>
      </c>
    </row>
    <row r="244" spans="1:45" x14ac:dyDescent="0.2">
      <c r="A244" s="1">
        <v>242.10599999999999</v>
      </c>
      <c r="B244" s="1">
        <v>6.431</v>
      </c>
      <c r="D244" s="1">
        <v>242.02699999999999</v>
      </c>
      <c r="E244" s="1">
        <v>0.41699999999999998</v>
      </c>
      <c r="G244" s="1">
        <v>242.04900000000001</v>
      </c>
      <c r="H244" s="1">
        <v>-0.30199999999999999</v>
      </c>
      <c r="J244" s="1">
        <v>242.01599999999999</v>
      </c>
      <c r="K244" s="1">
        <v>1.329</v>
      </c>
      <c r="M244" s="1">
        <v>242.08699999999999</v>
      </c>
      <c r="N244" s="1">
        <v>-0.69299999999999995</v>
      </c>
      <c r="P244" s="1">
        <v>241.96600000000001</v>
      </c>
      <c r="Q244" s="1">
        <v>-0.38900000000000001</v>
      </c>
      <c r="S244" s="1">
        <v>241.95599999999999</v>
      </c>
      <c r="T244" s="1">
        <v>-1.6105</v>
      </c>
      <c r="V244" s="1">
        <v>241.97900000000001</v>
      </c>
      <c r="W244" s="1">
        <v>-1.671</v>
      </c>
      <c r="Y244" s="1">
        <v>241.935</v>
      </c>
      <c r="Z244" s="1">
        <v>-1.536</v>
      </c>
      <c r="AB244" s="1">
        <v>241.97200000000001</v>
      </c>
      <c r="AC244" s="1">
        <v>-2.8130000000000002</v>
      </c>
      <c r="AE244" s="1">
        <v>242.042</v>
      </c>
      <c r="AF244" s="1">
        <v>-2.6484999999999999</v>
      </c>
      <c r="AL244" s="1">
        <v>242.00800000000001</v>
      </c>
      <c r="AM244" s="1">
        <v>-1.768</v>
      </c>
      <c r="AR244" s="1">
        <v>241.93299999999999</v>
      </c>
      <c r="AS244" s="1">
        <v>-3.8260000000000001</v>
      </c>
    </row>
    <row r="245" spans="1:45" x14ac:dyDescent="0.2">
      <c r="A245" s="1">
        <v>243.11199999999999</v>
      </c>
      <c r="B245" s="1">
        <v>6.3765000000000001</v>
      </c>
      <c r="D245" s="1">
        <v>243.03399999999999</v>
      </c>
      <c r="E245" s="1">
        <v>0.33900000000000002</v>
      </c>
      <c r="G245" s="1">
        <v>243.05500000000001</v>
      </c>
      <c r="H245" s="1">
        <v>-0.374</v>
      </c>
      <c r="J245" s="1">
        <v>243.02</v>
      </c>
      <c r="K245" s="1">
        <v>1.254</v>
      </c>
      <c r="M245" s="1">
        <v>243.09399999999999</v>
      </c>
      <c r="N245" s="1">
        <v>-0.64249999999999996</v>
      </c>
      <c r="P245" s="1">
        <v>242.97</v>
      </c>
      <c r="Q245" s="1">
        <v>-0.39500000000000002</v>
      </c>
      <c r="S245" s="1">
        <v>242.988</v>
      </c>
      <c r="T245" s="1">
        <v>-1.61</v>
      </c>
      <c r="V245" s="1">
        <v>242.98400000000001</v>
      </c>
      <c r="W245" s="1">
        <v>-1.6719999999999999</v>
      </c>
      <c r="Y245" s="1">
        <v>242.94399999999999</v>
      </c>
      <c r="Z245" s="1">
        <v>-1.5309999999999999</v>
      </c>
      <c r="AB245" s="1">
        <v>242.97900000000001</v>
      </c>
      <c r="AC245" s="1">
        <v>-2.8184999999999998</v>
      </c>
      <c r="AE245" s="1">
        <v>243.04599999999999</v>
      </c>
      <c r="AF245" s="1">
        <v>-2.6459999999999999</v>
      </c>
      <c r="AL245" s="1">
        <v>243.01400000000001</v>
      </c>
      <c r="AM245" s="1">
        <v>-1.8460000000000001</v>
      </c>
      <c r="AR245" s="1">
        <v>242.93899999999999</v>
      </c>
      <c r="AS245" s="1">
        <v>-3.8370000000000002</v>
      </c>
    </row>
    <row r="246" spans="1:45" x14ac:dyDescent="0.2">
      <c r="A246" s="1">
        <v>244.11699999999999</v>
      </c>
      <c r="B246" s="1">
        <v>6.3185000000000002</v>
      </c>
      <c r="D246" s="1">
        <v>244.03700000000001</v>
      </c>
      <c r="E246" s="1">
        <v>0.26950000000000002</v>
      </c>
      <c r="G246" s="1">
        <v>244.06</v>
      </c>
      <c r="H246" s="1">
        <v>-0.45050000000000001</v>
      </c>
      <c r="J246" s="1">
        <v>244.02799999999999</v>
      </c>
      <c r="K246" s="1">
        <v>1.1825000000000001</v>
      </c>
      <c r="M246" s="1">
        <v>244.09899999999999</v>
      </c>
      <c r="N246" s="1">
        <v>-0.60299999999999998</v>
      </c>
      <c r="P246" s="1">
        <v>243.97800000000001</v>
      </c>
      <c r="Q246" s="1">
        <v>-0.40100000000000002</v>
      </c>
      <c r="S246" s="1">
        <v>243.99199999999999</v>
      </c>
      <c r="T246" s="1">
        <v>-1.6120000000000001</v>
      </c>
      <c r="V246" s="1">
        <v>243.99100000000001</v>
      </c>
      <c r="W246" s="1">
        <v>-1.6639999999999999</v>
      </c>
      <c r="Y246" s="1">
        <v>243.95</v>
      </c>
      <c r="Z246" s="1">
        <v>-1.5355000000000001</v>
      </c>
      <c r="AB246" s="1">
        <v>243.98400000000001</v>
      </c>
      <c r="AC246" s="1">
        <v>-2.8174999999999999</v>
      </c>
      <c r="AE246" s="1">
        <v>244.05199999999999</v>
      </c>
      <c r="AF246" s="1">
        <v>-2.6619999999999999</v>
      </c>
      <c r="AL246" s="1">
        <v>244.01900000000001</v>
      </c>
      <c r="AM246" s="1">
        <v>-1.92</v>
      </c>
      <c r="AR246" s="1">
        <v>243.94399999999999</v>
      </c>
      <c r="AS246" s="1">
        <v>-3.835</v>
      </c>
    </row>
    <row r="247" spans="1:45" x14ac:dyDescent="0.2">
      <c r="A247" s="1">
        <v>245.12299999999999</v>
      </c>
      <c r="B247" s="1">
        <v>6.2614999999999998</v>
      </c>
      <c r="D247" s="1">
        <v>245.041</v>
      </c>
      <c r="E247" s="1">
        <v>0.1925</v>
      </c>
      <c r="G247" s="1">
        <v>245.065</v>
      </c>
      <c r="H247" s="1">
        <v>-0.52100000000000002</v>
      </c>
      <c r="J247" s="1">
        <v>245.035</v>
      </c>
      <c r="K247" s="1">
        <v>1.1094999999999999</v>
      </c>
      <c r="M247" s="1">
        <v>245.10499999999999</v>
      </c>
      <c r="N247" s="1">
        <v>-0.56399999999999995</v>
      </c>
      <c r="P247" s="1">
        <v>244.98500000000001</v>
      </c>
      <c r="Q247" s="1">
        <v>-0.39750000000000002</v>
      </c>
      <c r="S247" s="1">
        <v>244.99600000000001</v>
      </c>
      <c r="T247" s="1">
        <v>-1.6154999999999999</v>
      </c>
      <c r="V247" s="1">
        <v>245</v>
      </c>
      <c r="W247" s="1">
        <v>-1.6665000000000001</v>
      </c>
      <c r="Y247" s="1">
        <v>244.95599999999999</v>
      </c>
      <c r="Z247" s="1">
        <v>-1.5445</v>
      </c>
      <c r="AB247" s="1">
        <v>244.988</v>
      </c>
      <c r="AC247" s="1">
        <v>-2.8130000000000002</v>
      </c>
      <c r="AE247" s="1">
        <v>245.06200000000001</v>
      </c>
      <c r="AF247" s="1">
        <v>-2.6655000000000002</v>
      </c>
      <c r="AL247" s="1">
        <v>245.024</v>
      </c>
      <c r="AM247" s="1">
        <v>-1.9990000000000001</v>
      </c>
      <c r="AR247" s="1">
        <v>244.952</v>
      </c>
      <c r="AS247" s="1">
        <v>-3.8359999999999999</v>
      </c>
    </row>
    <row r="248" spans="1:45" x14ac:dyDescent="0.2">
      <c r="A248" s="1">
        <v>246.13200000000001</v>
      </c>
      <c r="B248" s="1">
        <v>6.2050000000000001</v>
      </c>
      <c r="D248" s="1">
        <v>246.04900000000001</v>
      </c>
      <c r="E248" s="1">
        <v>0.11600000000000001</v>
      </c>
      <c r="G248" s="1">
        <v>246.07</v>
      </c>
      <c r="H248" s="1">
        <v>-0.59299999999999997</v>
      </c>
      <c r="J248" s="1">
        <v>246.04</v>
      </c>
      <c r="K248" s="1">
        <v>1.0325</v>
      </c>
      <c r="M248" s="1">
        <v>246.10900000000001</v>
      </c>
      <c r="N248" s="1">
        <v>-0.53300000000000003</v>
      </c>
      <c r="P248" s="1">
        <v>245.99100000000001</v>
      </c>
      <c r="Q248" s="1">
        <v>-0.39650000000000002</v>
      </c>
      <c r="S248" s="1">
        <v>246.00299999999999</v>
      </c>
      <c r="T248" s="1">
        <v>-1.6194999999999999</v>
      </c>
      <c r="V248" s="1">
        <v>246.00800000000001</v>
      </c>
      <c r="W248" s="1">
        <v>-1.661</v>
      </c>
      <c r="Y248" s="1">
        <v>245.965</v>
      </c>
      <c r="Z248" s="1">
        <v>-1.5465</v>
      </c>
      <c r="AB248" s="1">
        <v>245.994</v>
      </c>
      <c r="AC248" s="1">
        <v>-2.8054999999999999</v>
      </c>
      <c r="AE248" s="1">
        <v>246.06700000000001</v>
      </c>
      <c r="AF248" s="1">
        <v>-2.6735000000000002</v>
      </c>
      <c r="AL248" s="1">
        <v>246.029</v>
      </c>
      <c r="AM248" s="1">
        <v>-2.0834999999999999</v>
      </c>
      <c r="AR248" s="1">
        <v>245.959</v>
      </c>
      <c r="AS248" s="1">
        <v>-3.8365</v>
      </c>
    </row>
    <row r="249" spans="1:45" x14ac:dyDescent="0.2">
      <c r="A249" s="1">
        <v>247.137</v>
      </c>
      <c r="B249" s="1">
        <v>6.1390000000000002</v>
      </c>
      <c r="D249" s="1">
        <v>247.059</v>
      </c>
      <c r="E249" s="1">
        <v>3.3000000000000002E-2</v>
      </c>
      <c r="G249" s="1">
        <v>247.07499999999999</v>
      </c>
      <c r="H249" s="1">
        <v>-0.67700000000000005</v>
      </c>
      <c r="J249" s="1">
        <v>247.04400000000001</v>
      </c>
      <c r="K249" s="1">
        <v>0.95899999999999996</v>
      </c>
      <c r="M249" s="1">
        <v>247.12</v>
      </c>
      <c r="N249" s="1">
        <v>-0.50600000000000001</v>
      </c>
      <c r="P249" s="1">
        <v>246.99600000000001</v>
      </c>
      <c r="Q249" s="1">
        <v>-0.39400000000000002</v>
      </c>
      <c r="S249" s="1">
        <v>247.012</v>
      </c>
      <c r="T249" s="1">
        <v>-1.6220000000000001</v>
      </c>
      <c r="V249" s="1">
        <v>247.01300000000001</v>
      </c>
      <c r="W249" s="1">
        <v>-1.6445000000000001</v>
      </c>
      <c r="Y249" s="1">
        <v>246.96899999999999</v>
      </c>
      <c r="Z249" s="1">
        <v>-1.5545</v>
      </c>
      <c r="AB249" s="1">
        <v>247.005</v>
      </c>
      <c r="AC249" s="1">
        <v>-2.8029999999999999</v>
      </c>
      <c r="AE249" s="1">
        <v>247.07599999999999</v>
      </c>
      <c r="AF249" s="1">
        <v>-2.6709999999999998</v>
      </c>
      <c r="AL249" s="1">
        <v>247.035</v>
      </c>
      <c r="AM249" s="1">
        <v>-2.1585000000000001</v>
      </c>
      <c r="AR249" s="1">
        <v>246.964</v>
      </c>
      <c r="AS249" s="1">
        <v>-3.8450000000000002</v>
      </c>
    </row>
    <row r="250" spans="1:45" x14ac:dyDescent="0.2">
      <c r="A250" s="1">
        <v>248.14099999999999</v>
      </c>
      <c r="B250" s="1">
        <v>6.08</v>
      </c>
      <c r="D250" s="1">
        <v>248.066</v>
      </c>
      <c r="E250" s="1">
        <v>-3.5999999999999997E-2</v>
      </c>
      <c r="G250" s="1">
        <v>248.08099999999999</v>
      </c>
      <c r="H250" s="1">
        <v>-0.748</v>
      </c>
      <c r="J250" s="1">
        <v>248.05</v>
      </c>
      <c r="K250" s="1">
        <v>0.88449999999999995</v>
      </c>
      <c r="M250" s="1">
        <v>248.12700000000001</v>
      </c>
      <c r="N250" s="1">
        <v>-0.47799999999999998</v>
      </c>
      <c r="P250" s="1">
        <v>248.001</v>
      </c>
      <c r="Q250" s="1">
        <v>-0.39550000000000002</v>
      </c>
      <c r="S250" s="1">
        <v>248.017</v>
      </c>
      <c r="T250" s="1">
        <v>-1.625</v>
      </c>
      <c r="V250" s="1">
        <v>248.01599999999999</v>
      </c>
      <c r="W250" s="1">
        <v>-1.64</v>
      </c>
      <c r="Y250" s="1">
        <v>247.97399999999999</v>
      </c>
      <c r="Z250" s="1">
        <v>-1.55</v>
      </c>
      <c r="AB250" s="1">
        <v>248.01</v>
      </c>
      <c r="AC250" s="1">
        <v>-2.8065000000000002</v>
      </c>
      <c r="AE250" s="1">
        <v>248.083</v>
      </c>
      <c r="AF250" s="1">
        <v>-2.673</v>
      </c>
      <c r="AL250" s="1">
        <v>248.04</v>
      </c>
      <c r="AM250" s="1">
        <v>-2.2435</v>
      </c>
      <c r="AR250" s="1">
        <v>247.96799999999999</v>
      </c>
      <c r="AS250" s="1">
        <v>-3.8450000000000002</v>
      </c>
    </row>
    <row r="251" spans="1:45" x14ac:dyDescent="0.2">
      <c r="A251" s="1">
        <v>249.14599999999999</v>
      </c>
      <c r="B251" s="1">
        <v>6.0179999999999998</v>
      </c>
      <c r="D251" s="1">
        <v>249.07300000000001</v>
      </c>
      <c r="E251" s="1">
        <v>-0.11799999999999999</v>
      </c>
      <c r="G251" s="1">
        <v>249.08500000000001</v>
      </c>
      <c r="H251" s="1">
        <v>-0.83799999999999997</v>
      </c>
      <c r="J251" s="1">
        <v>249.05500000000001</v>
      </c>
      <c r="K251" s="1">
        <v>0.8115</v>
      </c>
      <c r="M251" s="1">
        <v>249.13300000000001</v>
      </c>
      <c r="N251" s="1">
        <v>-0.45150000000000001</v>
      </c>
      <c r="P251" s="1">
        <v>249.006</v>
      </c>
      <c r="Q251" s="1">
        <v>-0.40050000000000002</v>
      </c>
      <c r="S251" s="1">
        <v>249.02199999999999</v>
      </c>
      <c r="T251" s="1">
        <v>-1.6234999999999999</v>
      </c>
      <c r="V251" s="1">
        <v>249.02</v>
      </c>
      <c r="W251" s="1">
        <v>-1.6339999999999999</v>
      </c>
      <c r="Y251" s="1">
        <v>248.98099999999999</v>
      </c>
      <c r="Z251" s="1">
        <v>-1.5549999999999999</v>
      </c>
      <c r="AB251" s="1">
        <v>249.017</v>
      </c>
      <c r="AC251" s="1">
        <v>-2.8065000000000002</v>
      </c>
      <c r="AE251" s="1">
        <v>249.08799999999999</v>
      </c>
      <c r="AF251" s="1">
        <v>-2.6709999999999998</v>
      </c>
      <c r="AL251" s="1">
        <v>249.04599999999999</v>
      </c>
      <c r="AM251" s="1">
        <v>-2.3260000000000001</v>
      </c>
    </row>
    <row r="252" spans="1:45" x14ac:dyDescent="0.2">
      <c r="A252" s="1">
        <v>250.15199999999999</v>
      </c>
      <c r="B252" s="1">
        <v>5.9675000000000002</v>
      </c>
      <c r="D252" s="1">
        <v>250.07900000000001</v>
      </c>
      <c r="E252" s="1">
        <v>-0.19</v>
      </c>
      <c r="G252" s="1">
        <v>250.089</v>
      </c>
      <c r="H252" s="1">
        <v>-0.90549999999999997</v>
      </c>
      <c r="J252" s="1">
        <v>250.06100000000001</v>
      </c>
      <c r="K252" s="1">
        <v>0.73350000000000004</v>
      </c>
      <c r="M252" s="1">
        <v>250.14099999999999</v>
      </c>
      <c r="N252" s="1">
        <v>-0.41699999999999998</v>
      </c>
      <c r="P252" s="1">
        <v>250.01</v>
      </c>
      <c r="Q252" s="1">
        <v>-0.41099999999999998</v>
      </c>
      <c r="S252" s="1">
        <v>250.02500000000001</v>
      </c>
      <c r="T252" s="1">
        <v>-1.6259999999999999</v>
      </c>
      <c r="V252" s="1">
        <v>250.02500000000001</v>
      </c>
      <c r="W252" s="1">
        <v>-1.6385000000000001</v>
      </c>
      <c r="Y252" s="1">
        <v>249.98699999999999</v>
      </c>
      <c r="Z252" s="1">
        <v>-1.5569999999999999</v>
      </c>
      <c r="AB252" s="1">
        <v>250.023</v>
      </c>
      <c r="AC252" s="1">
        <v>-2.8149999999999999</v>
      </c>
      <c r="AE252" s="1">
        <v>250.096</v>
      </c>
      <c r="AF252" s="1">
        <v>-2.6760000000000002</v>
      </c>
      <c r="AL252" s="1">
        <v>250.428</v>
      </c>
      <c r="AM252" s="1">
        <v>-2.4325000000000001</v>
      </c>
    </row>
    <row r="253" spans="1:45" x14ac:dyDescent="0.2">
      <c r="A253" s="1">
        <v>251.15799999999999</v>
      </c>
      <c r="B253" s="1">
        <v>5.9085000000000001</v>
      </c>
      <c r="D253" s="1">
        <v>251.08500000000001</v>
      </c>
      <c r="E253" s="1">
        <v>-0.25950000000000001</v>
      </c>
      <c r="G253" s="1">
        <v>251.095</v>
      </c>
      <c r="H253" s="1">
        <v>-0.98099999999999998</v>
      </c>
      <c r="J253" s="1">
        <v>251.06899999999999</v>
      </c>
      <c r="K253" s="1">
        <v>0.66</v>
      </c>
      <c r="M253" s="1">
        <v>251.149</v>
      </c>
      <c r="N253" s="1">
        <v>-0.39700000000000002</v>
      </c>
      <c r="P253" s="1">
        <v>251.01599999999999</v>
      </c>
      <c r="Q253" s="1">
        <v>-0.41249999999999998</v>
      </c>
      <c r="S253" s="1">
        <v>251.02799999999999</v>
      </c>
      <c r="T253" s="1">
        <v>-1.6265000000000001</v>
      </c>
      <c r="V253" s="1">
        <v>251.03100000000001</v>
      </c>
      <c r="W253" s="1">
        <v>-1.6355</v>
      </c>
      <c r="Y253" s="1">
        <v>250.995</v>
      </c>
      <c r="Z253" s="1">
        <v>-1.5629999999999999</v>
      </c>
      <c r="AB253" s="1">
        <v>251.03</v>
      </c>
      <c r="AC253" s="1">
        <v>-2.819</v>
      </c>
      <c r="AE253" s="1">
        <v>251.102</v>
      </c>
      <c r="AF253" s="1">
        <v>-2.6844999999999999</v>
      </c>
      <c r="AL253" s="1">
        <v>251.434</v>
      </c>
      <c r="AM253" s="1">
        <v>-2.5129999999999999</v>
      </c>
    </row>
    <row r="254" spans="1:45" x14ac:dyDescent="0.2">
      <c r="A254" s="1">
        <v>252.16499999999999</v>
      </c>
      <c r="B254" s="1">
        <v>5.8410000000000002</v>
      </c>
      <c r="D254" s="1">
        <v>252.09200000000001</v>
      </c>
      <c r="E254" s="1">
        <v>-0.32950000000000002</v>
      </c>
      <c r="G254" s="1">
        <v>252.1</v>
      </c>
      <c r="H254" s="1">
        <v>-1.048</v>
      </c>
      <c r="J254" s="1">
        <v>252.07400000000001</v>
      </c>
      <c r="K254" s="1">
        <v>0.58399999999999996</v>
      </c>
      <c r="M254" s="1">
        <v>252.154</v>
      </c>
      <c r="N254" s="1">
        <v>-0.374</v>
      </c>
      <c r="P254" s="1">
        <v>252.02199999999999</v>
      </c>
      <c r="Q254" s="1">
        <v>-0.40600000000000003</v>
      </c>
      <c r="S254" s="1">
        <v>252.03299999999999</v>
      </c>
      <c r="T254" s="1">
        <v>-1.6245000000000001</v>
      </c>
      <c r="V254" s="1">
        <v>252.03800000000001</v>
      </c>
      <c r="W254" s="1">
        <v>-1.6405000000000001</v>
      </c>
      <c r="Y254" s="1">
        <v>251.999</v>
      </c>
      <c r="Z254" s="1">
        <v>-1.5725</v>
      </c>
      <c r="AB254" s="1">
        <v>252.035</v>
      </c>
      <c r="AC254" s="1">
        <v>-2.83</v>
      </c>
      <c r="AE254" s="1">
        <v>252.10900000000001</v>
      </c>
      <c r="AF254" s="1">
        <v>-2.6825000000000001</v>
      </c>
      <c r="AL254" s="1">
        <v>252.44300000000001</v>
      </c>
      <c r="AM254" s="1">
        <v>-2.593</v>
      </c>
    </row>
    <row r="255" spans="1:45" x14ac:dyDescent="0.2">
      <c r="A255" s="1">
        <v>253.172</v>
      </c>
      <c r="B255" s="1">
        <v>5.7809999999999997</v>
      </c>
      <c r="D255" s="1">
        <v>253.09899999999999</v>
      </c>
      <c r="E255" s="1">
        <v>-0.39750000000000002</v>
      </c>
      <c r="G255" s="1">
        <v>253.108</v>
      </c>
      <c r="H255" s="1">
        <v>-1.1165</v>
      </c>
      <c r="J255" s="1">
        <v>253.08</v>
      </c>
      <c r="K255" s="1">
        <v>0.51900000000000002</v>
      </c>
      <c r="M255" s="1">
        <v>253.16</v>
      </c>
      <c r="N255" s="1">
        <v>-0.35249999999999998</v>
      </c>
      <c r="P255" s="1">
        <v>253.029</v>
      </c>
      <c r="Q255" s="1">
        <v>-0.40749999999999997</v>
      </c>
      <c r="S255" s="1">
        <v>253.03800000000001</v>
      </c>
      <c r="T255" s="1">
        <v>-1.6335</v>
      </c>
      <c r="V255" s="1">
        <v>253.042</v>
      </c>
      <c r="W255" s="1">
        <v>-1.6415</v>
      </c>
      <c r="Y255" s="1">
        <v>253.005</v>
      </c>
      <c r="Z255" s="1">
        <v>-1.571</v>
      </c>
      <c r="AB255" s="1">
        <v>253.04400000000001</v>
      </c>
      <c r="AC255" s="1">
        <v>-2.8260000000000001</v>
      </c>
      <c r="AE255" s="1">
        <v>253.11500000000001</v>
      </c>
      <c r="AF255" s="1">
        <v>-2.6915</v>
      </c>
      <c r="AL255" s="1">
        <v>253.452</v>
      </c>
      <c r="AM255" s="1">
        <v>-2.6804999999999999</v>
      </c>
    </row>
    <row r="256" spans="1:45" x14ac:dyDescent="0.2">
      <c r="A256" s="1">
        <v>254.18100000000001</v>
      </c>
      <c r="B256" s="1">
        <v>5.7249999999999996</v>
      </c>
      <c r="D256" s="1">
        <v>254.108</v>
      </c>
      <c r="E256" s="1">
        <v>-0.48</v>
      </c>
      <c r="G256" s="1">
        <v>254.114</v>
      </c>
      <c r="H256" s="1">
        <v>-1.1935</v>
      </c>
      <c r="J256" s="1">
        <v>254.083</v>
      </c>
      <c r="K256" s="1">
        <v>0.44900000000000001</v>
      </c>
      <c r="M256" s="1">
        <v>254.167</v>
      </c>
      <c r="N256" s="1">
        <v>-0.33050000000000002</v>
      </c>
      <c r="P256" s="1">
        <v>254.03700000000001</v>
      </c>
      <c r="Q256" s="1">
        <v>-0.41199999999999998</v>
      </c>
      <c r="S256" s="1">
        <v>254.04499999999999</v>
      </c>
      <c r="T256" s="1">
        <v>-1.6285000000000001</v>
      </c>
      <c r="V256" s="1">
        <v>254.04599999999999</v>
      </c>
      <c r="W256" s="1">
        <v>-1.651</v>
      </c>
      <c r="Y256" s="1">
        <v>254.012</v>
      </c>
      <c r="Z256" s="1">
        <v>-1.5720000000000001</v>
      </c>
      <c r="AB256" s="1">
        <v>254.04900000000001</v>
      </c>
      <c r="AC256" s="1">
        <v>-2.8279999999999998</v>
      </c>
      <c r="AE256" s="1">
        <v>254.119</v>
      </c>
      <c r="AF256" s="1">
        <v>-2.6920000000000002</v>
      </c>
      <c r="AL256" s="1">
        <v>254.50299999999999</v>
      </c>
      <c r="AM256" s="1">
        <v>-2.7625000000000002</v>
      </c>
    </row>
    <row r="257" spans="1:39" x14ac:dyDescent="0.2">
      <c r="A257" s="1">
        <v>255.18700000000001</v>
      </c>
      <c r="B257" s="1">
        <v>5.6654999999999998</v>
      </c>
      <c r="D257" s="1">
        <v>255.11699999999999</v>
      </c>
      <c r="E257" s="1">
        <v>-0.55000000000000004</v>
      </c>
      <c r="G257" s="1">
        <v>255.11799999999999</v>
      </c>
      <c r="H257" s="1">
        <v>-1.264</v>
      </c>
      <c r="J257" s="1">
        <v>255.08799999999999</v>
      </c>
      <c r="K257" s="1">
        <v>0.38150000000000001</v>
      </c>
      <c r="M257" s="1">
        <v>255.173</v>
      </c>
      <c r="N257" s="1">
        <v>-0.315</v>
      </c>
      <c r="P257" s="1">
        <v>255.04400000000001</v>
      </c>
      <c r="Q257" s="1">
        <v>-0.41249999999999998</v>
      </c>
      <c r="S257" s="1">
        <v>255.05199999999999</v>
      </c>
      <c r="T257" s="1">
        <v>-1.631</v>
      </c>
      <c r="V257" s="1">
        <v>255.053</v>
      </c>
      <c r="W257" s="1">
        <v>-1.6485000000000001</v>
      </c>
      <c r="Y257" s="1">
        <v>255.02099999999999</v>
      </c>
      <c r="Z257" s="1">
        <v>-1.5825</v>
      </c>
      <c r="AB257" s="1">
        <v>255.05600000000001</v>
      </c>
      <c r="AC257" s="1">
        <v>-2.8214999999999999</v>
      </c>
      <c r="AE257" s="1">
        <v>255.12700000000001</v>
      </c>
      <c r="AF257" s="1">
        <v>-2.6985000000000001</v>
      </c>
      <c r="AL257" s="1">
        <v>255.51</v>
      </c>
      <c r="AM257" s="1">
        <v>-2.843</v>
      </c>
    </row>
    <row r="258" spans="1:39" x14ac:dyDescent="0.2">
      <c r="A258" s="1">
        <v>256.19</v>
      </c>
      <c r="B258" s="1">
        <v>5.61</v>
      </c>
      <c r="D258" s="1">
        <v>256.12299999999999</v>
      </c>
      <c r="E258" s="1">
        <v>-0.62649999999999995</v>
      </c>
      <c r="G258" s="1">
        <v>256.12099999999998</v>
      </c>
      <c r="H258" s="1">
        <v>-1.327</v>
      </c>
      <c r="J258" s="1">
        <v>256.09199999999998</v>
      </c>
      <c r="K258" s="1">
        <v>0.3175</v>
      </c>
      <c r="M258" s="1">
        <v>256.17700000000002</v>
      </c>
      <c r="N258" s="1">
        <v>-0.30249999999999999</v>
      </c>
      <c r="P258" s="1">
        <v>256.05</v>
      </c>
      <c r="Q258" s="1">
        <v>-0.42099999999999999</v>
      </c>
      <c r="S258" s="1">
        <v>256.05599999999998</v>
      </c>
      <c r="T258" s="1">
        <v>-1.6325000000000001</v>
      </c>
      <c r="V258" s="1">
        <v>256.06099999999998</v>
      </c>
      <c r="W258" s="1">
        <v>-1.643</v>
      </c>
      <c r="Y258" s="1">
        <v>256.02999999999997</v>
      </c>
      <c r="Z258" s="1">
        <v>-1.5934999999999999</v>
      </c>
      <c r="AB258" s="1">
        <v>256.06200000000001</v>
      </c>
      <c r="AC258" s="1">
        <v>-2.8294999999999999</v>
      </c>
      <c r="AE258" s="1">
        <v>256.13200000000001</v>
      </c>
      <c r="AF258" s="1">
        <v>-2.7090000000000001</v>
      </c>
      <c r="AL258" s="1">
        <v>256.51499999999999</v>
      </c>
      <c r="AM258" s="1">
        <v>-2.9235000000000002</v>
      </c>
    </row>
    <row r="259" spans="1:39" x14ac:dyDescent="0.2">
      <c r="A259" s="1">
        <v>257.19400000000002</v>
      </c>
      <c r="B259" s="1">
        <v>5.5490000000000004</v>
      </c>
      <c r="D259" s="1">
        <v>257.12700000000001</v>
      </c>
      <c r="E259" s="1">
        <v>-0.69399999999999995</v>
      </c>
      <c r="G259" s="1">
        <v>257.12299999999999</v>
      </c>
      <c r="H259" s="1">
        <v>-1.4095</v>
      </c>
      <c r="J259" s="1">
        <v>257.10000000000002</v>
      </c>
      <c r="K259" s="1">
        <v>0.24199999999999999</v>
      </c>
      <c r="M259" s="1">
        <v>257.18400000000003</v>
      </c>
      <c r="N259" s="1">
        <v>-0.28799999999999998</v>
      </c>
      <c r="P259" s="1">
        <v>257.05700000000002</v>
      </c>
      <c r="Q259" s="1">
        <v>-0.42049999999999998</v>
      </c>
      <c r="S259" s="1">
        <v>257.06299999999999</v>
      </c>
      <c r="T259" s="1">
        <v>-1.6359999999999999</v>
      </c>
      <c r="V259" s="1">
        <v>257.06799999999998</v>
      </c>
      <c r="W259" s="1">
        <v>-1.6559999999999999</v>
      </c>
      <c r="Y259" s="1">
        <v>257.03899999999999</v>
      </c>
      <c r="Z259" s="1">
        <v>-1.595</v>
      </c>
      <c r="AB259" s="1">
        <v>257.06799999999998</v>
      </c>
      <c r="AC259" s="1">
        <v>-2.8380000000000001</v>
      </c>
      <c r="AE259" s="1">
        <v>257.137</v>
      </c>
      <c r="AF259" s="1">
        <v>-2.7124999999999999</v>
      </c>
      <c r="AL259" s="1">
        <v>257.51900000000001</v>
      </c>
      <c r="AM259" s="1">
        <v>-3.0009999999999999</v>
      </c>
    </row>
    <row r="260" spans="1:39" x14ac:dyDescent="0.2">
      <c r="A260" s="1">
        <v>258.2</v>
      </c>
      <c r="B260" s="1">
        <v>5.4924999999999997</v>
      </c>
      <c r="D260" s="1">
        <v>258.13499999999999</v>
      </c>
      <c r="E260" s="1">
        <v>-0.76800000000000002</v>
      </c>
      <c r="G260" s="1">
        <v>258.12900000000002</v>
      </c>
      <c r="H260" s="1">
        <v>-1.488</v>
      </c>
      <c r="J260" s="1">
        <v>258.10399999999998</v>
      </c>
      <c r="K260" s="1">
        <v>0.17050000000000001</v>
      </c>
      <c r="M260" s="1">
        <v>258.18700000000001</v>
      </c>
      <c r="N260" s="1">
        <v>-0.28899999999999998</v>
      </c>
      <c r="P260" s="1">
        <v>258.06099999999998</v>
      </c>
      <c r="Q260" s="1">
        <v>-0.42149999999999999</v>
      </c>
      <c r="S260" s="1">
        <v>258.06900000000002</v>
      </c>
      <c r="T260" s="1">
        <v>-1.627</v>
      </c>
      <c r="V260" s="1">
        <v>258.07400000000001</v>
      </c>
      <c r="W260" s="1">
        <v>-1.6675</v>
      </c>
      <c r="Y260" s="1">
        <v>258.04399999999998</v>
      </c>
      <c r="Z260" s="1">
        <v>-1.5925</v>
      </c>
      <c r="AB260" s="1">
        <v>258.07600000000002</v>
      </c>
      <c r="AC260" s="1">
        <v>-2.8460000000000001</v>
      </c>
      <c r="AE260" s="1">
        <v>258.14</v>
      </c>
      <c r="AF260" s="1">
        <v>-2.7174999999999998</v>
      </c>
      <c r="AL260" s="1">
        <v>258.524</v>
      </c>
      <c r="AM260" s="1">
        <v>-3.0794999999999999</v>
      </c>
    </row>
    <row r="261" spans="1:39" x14ac:dyDescent="0.2">
      <c r="A261" s="1">
        <v>259.20699999999999</v>
      </c>
      <c r="B261" s="1">
        <v>5.4320000000000004</v>
      </c>
      <c r="D261" s="1">
        <v>259.142</v>
      </c>
      <c r="E261" s="1">
        <v>-0.84899999999999998</v>
      </c>
      <c r="G261" s="1">
        <v>259.16000000000003</v>
      </c>
      <c r="H261" s="1">
        <v>-1.5605</v>
      </c>
      <c r="J261" s="1">
        <v>259.11</v>
      </c>
      <c r="K261" s="1">
        <v>8.5999999999999993E-2</v>
      </c>
      <c r="M261" s="1">
        <v>259.19499999999999</v>
      </c>
      <c r="N261" s="1">
        <v>-0.29099999999999998</v>
      </c>
      <c r="P261" s="1">
        <v>259.06599999999997</v>
      </c>
      <c r="Q261" s="1">
        <v>-0.41299999999999998</v>
      </c>
      <c r="S261" s="1">
        <v>259.07400000000001</v>
      </c>
      <c r="T261" s="1">
        <v>-1.6335</v>
      </c>
      <c r="V261" s="1">
        <v>259.08</v>
      </c>
      <c r="W261" s="1">
        <v>-1.6675</v>
      </c>
      <c r="Y261" s="1">
        <v>259.04899999999998</v>
      </c>
      <c r="Z261" s="1">
        <v>-1.595</v>
      </c>
      <c r="AB261" s="1">
        <v>259.08100000000002</v>
      </c>
      <c r="AC261" s="1">
        <v>-2.8479999999999999</v>
      </c>
      <c r="AE261" s="1">
        <v>259.14400000000001</v>
      </c>
      <c r="AF261" s="1">
        <v>-2.7225000000000001</v>
      </c>
      <c r="AL261" s="1">
        <v>259.53100000000001</v>
      </c>
      <c r="AM261" s="1">
        <v>-3.1669999999999998</v>
      </c>
    </row>
    <row r="262" spans="1:39" x14ac:dyDescent="0.2">
      <c r="A262" s="1">
        <v>260.20999999999998</v>
      </c>
      <c r="B262" s="1">
        <v>5.3775000000000004</v>
      </c>
      <c r="D262" s="1">
        <v>260.14600000000002</v>
      </c>
      <c r="E262" s="1">
        <v>-0.91749999999999998</v>
      </c>
      <c r="G262" s="1">
        <v>260.16500000000002</v>
      </c>
      <c r="H262" s="1">
        <v>-1.6385000000000001</v>
      </c>
      <c r="J262" s="1">
        <v>260.11500000000001</v>
      </c>
      <c r="K262" s="1">
        <v>2.1499999999999998E-2</v>
      </c>
      <c r="M262" s="1">
        <v>260.19900000000001</v>
      </c>
      <c r="N262" s="1">
        <v>-0.29099999999999998</v>
      </c>
      <c r="P262" s="1">
        <v>260.07</v>
      </c>
      <c r="Q262" s="1">
        <v>-0.41549999999999998</v>
      </c>
      <c r="S262" s="1">
        <v>260.07900000000001</v>
      </c>
      <c r="T262" s="1">
        <v>-1.643</v>
      </c>
      <c r="V262" s="1">
        <v>260.084</v>
      </c>
      <c r="W262" s="1">
        <v>-1.6659999999999999</v>
      </c>
      <c r="Y262" s="1">
        <v>260.05500000000001</v>
      </c>
      <c r="Z262" s="1">
        <v>-1.5980000000000001</v>
      </c>
      <c r="AB262" s="1">
        <v>260.08699999999999</v>
      </c>
      <c r="AC262" s="1">
        <v>-2.8605</v>
      </c>
      <c r="AE262" s="1">
        <v>260.14999999999998</v>
      </c>
      <c r="AF262" s="1">
        <v>-2.7195</v>
      </c>
      <c r="AL262" s="1">
        <v>260.53899999999999</v>
      </c>
      <c r="AM262" s="1">
        <v>-3.242</v>
      </c>
    </row>
    <row r="263" spans="1:39" x14ac:dyDescent="0.2">
      <c r="A263" s="1">
        <v>261.21800000000002</v>
      </c>
      <c r="B263" s="1">
        <v>5.3170000000000002</v>
      </c>
      <c r="D263" s="1">
        <v>261.15199999999999</v>
      </c>
      <c r="E263" s="1">
        <v>-0.99099999999999999</v>
      </c>
      <c r="G263" s="1">
        <v>261.17099999999999</v>
      </c>
      <c r="H263" s="1">
        <v>-1.714</v>
      </c>
      <c r="J263" s="1">
        <v>261.12</v>
      </c>
      <c r="K263" s="1">
        <v>-0.05</v>
      </c>
      <c r="M263" s="1">
        <v>261.20400000000001</v>
      </c>
      <c r="N263" s="1">
        <v>-0.29549999999999998</v>
      </c>
      <c r="P263" s="1">
        <v>261.07499999999999</v>
      </c>
      <c r="Q263" s="1">
        <v>-0.432</v>
      </c>
      <c r="S263" s="1">
        <v>261.08800000000002</v>
      </c>
      <c r="T263" s="1">
        <v>-1.6415</v>
      </c>
      <c r="V263" s="1">
        <v>261.09100000000001</v>
      </c>
      <c r="W263" s="1">
        <v>-1.667</v>
      </c>
      <c r="Y263" s="1">
        <v>261.06200000000001</v>
      </c>
      <c r="Z263" s="1">
        <v>-1.5954999999999999</v>
      </c>
      <c r="AB263" s="1">
        <v>261.09100000000001</v>
      </c>
      <c r="AC263" s="1">
        <v>-2.859</v>
      </c>
      <c r="AE263" s="1">
        <v>261.15499999999997</v>
      </c>
      <c r="AF263" s="1">
        <v>-2.7229999999999999</v>
      </c>
      <c r="AL263" s="1">
        <v>261.54500000000002</v>
      </c>
      <c r="AM263" s="1">
        <v>-3.3294999999999999</v>
      </c>
    </row>
    <row r="264" spans="1:39" x14ac:dyDescent="0.2">
      <c r="A264" s="1">
        <v>262.22500000000002</v>
      </c>
      <c r="B264" s="1">
        <v>5.2560000000000002</v>
      </c>
      <c r="D264" s="1">
        <v>262.16199999999998</v>
      </c>
      <c r="E264" s="1">
        <v>-1.0605</v>
      </c>
      <c r="G264" s="1">
        <v>262.17899999999997</v>
      </c>
      <c r="H264" s="1">
        <v>-1.7929999999999999</v>
      </c>
      <c r="J264" s="1">
        <v>262.12700000000001</v>
      </c>
      <c r="K264" s="1">
        <v>-0.1285</v>
      </c>
      <c r="M264" s="1">
        <v>262.20699999999999</v>
      </c>
      <c r="N264" s="1">
        <v>-0.29049999999999998</v>
      </c>
      <c r="P264" s="1">
        <v>262.08100000000002</v>
      </c>
      <c r="Q264" s="1">
        <v>-0.44350000000000001</v>
      </c>
      <c r="S264" s="1">
        <v>262.09199999999998</v>
      </c>
      <c r="T264" s="1">
        <v>-1.6395</v>
      </c>
      <c r="V264" s="1">
        <v>262.10000000000002</v>
      </c>
      <c r="W264" s="1">
        <v>-1.6679999999999999</v>
      </c>
      <c r="Y264" s="1">
        <v>262.06400000000002</v>
      </c>
      <c r="Z264" s="1">
        <v>-1.595</v>
      </c>
      <c r="AB264" s="1">
        <v>262.09500000000003</v>
      </c>
      <c r="AC264" s="1">
        <v>-2.8639999999999999</v>
      </c>
      <c r="AE264" s="1">
        <v>262.15899999999999</v>
      </c>
      <c r="AF264" s="1">
        <v>-2.7204999999999999</v>
      </c>
      <c r="AL264" s="1">
        <v>262.54899999999998</v>
      </c>
      <c r="AM264" s="1">
        <v>-3.4049999999999998</v>
      </c>
    </row>
    <row r="265" spans="1:39" x14ac:dyDescent="0.2">
      <c r="A265" s="1">
        <v>263.22800000000001</v>
      </c>
      <c r="B265" s="1">
        <v>5.2095000000000002</v>
      </c>
      <c r="D265" s="1">
        <v>263.16800000000001</v>
      </c>
      <c r="E265" s="1">
        <v>-1.137</v>
      </c>
      <c r="G265" s="1">
        <v>263.18400000000003</v>
      </c>
      <c r="H265" s="1">
        <v>-1.8680000000000001</v>
      </c>
      <c r="J265" s="1">
        <v>263.13600000000002</v>
      </c>
      <c r="K265" s="1">
        <v>-0.192</v>
      </c>
      <c r="M265" s="1">
        <v>263.21300000000002</v>
      </c>
      <c r="N265" s="1">
        <v>-0.28249999999999997</v>
      </c>
      <c r="P265" s="1">
        <v>263.08699999999999</v>
      </c>
      <c r="Q265" s="1">
        <v>-0.442</v>
      </c>
      <c r="S265" s="1">
        <v>263.096</v>
      </c>
      <c r="T265" s="1">
        <v>-1.643</v>
      </c>
      <c r="V265" s="1">
        <v>263.10500000000002</v>
      </c>
      <c r="W265" s="1">
        <v>-1.6619999999999999</v>
      </c>
      <c r="Y265" s="1">
        <v>263.06799999999998</v>
      </c>
      <c r="Z265" s="1">
        <v>-1.6020000000000001</v>
      </c>
      <c r="AB265" s="1">
        <v>263.101</v>
      </c>
      <c r="AC265" s="1">
        <v>-2.86</v>
      </c>
      <c r="AE265" s="1">
        <v>263.16500000000002</v>
      </c>
      <c r="AF265" s="1">
        <v>-2.7130000000000001</v>
      </c>
      <c r="AL265" s="1">
        <v>263.55900000000003</v>
      </c>
      <c r="AM265" s="1">
        <v>-3.4714999999999998</v>
      </c>
    </row>
    <row r="266" spans="1:39" x14ac:dyDescent="0.2">
      <c r="A266" s="1">
        <v>264.23399999999998</v>
      </c>
      <c r="B266" s="1">
        <v>5.149</v>
      </c>
      <c r="D266" s="1">
        <v>264.17</v>
      </c>
      <c r="E266" s="1">
        <v>-1.2090000000000001</v>
      </c>
      <c r="G266" s="1">
        <v>264.19</v>
      </c>
      <c r="H266" s="1">
        <v>-1.9335</v>
      </c>
      <c r="J266" s="1">
        <v>264.14100000000002</v>
      </c>
      <c r="K266" s="1">
        <v>-0.27150000000000002</v>
      </c>
      <c r="M266" s="1">
        <v>264.221</v>
      </c>
      <c r="N266" s="1">
        <v>-0.28699999999999998</v>
      </c>
      <c r="P266" s="1">
        <v>264.09100000000001</v>
      </c>
      <c r="Q266" s="1">
        <v>-0.44650000000000001</v>
      </c>
      <c r="S266" s="1">
        <v>264.10300000000001</v>
      </c>
      <c r="T266" s="1">
        <v>-1.6425000000000001</v>
      </c>
      <c r="V266" s="1">
        <v>264.108</v>
      </c>
      <c r="W266" s="1">
        <v>-1.669</v>
      </c>
      <c r="Y266" s="1">
        <v>264.07299999999998</v>
      </c>
      <c r="Z266" s="1">
        <v>-1.6034999999999999</v>
      </c>
      <c r="AB266" s="1">
        <v>264.10899999999998</v>
      </c>
      <c r="AC266" s="1">
        <v>-2.86</v>
      </c>
      <c r="AE266" s="1">
        <v>264.17200000000003</v>
      </c>
      <c r="AF266" s="1">
        <v>-2.7050000000000001</v>
      </c>
      <c r="AL266" s="1">
        <v>264.56700000000001</v>
      </c>
      <c r="AM266" s="1">
        <v>-3.5489999999999999</v>
      </c>
    </row>
    <row r="267" spans="1:39" x14ac:dyDescent="0.2">
      <c r="A267" s="1">
        <v>265.24</v>
      </c>
      <c r="B267" s="1">
        <v>5.0994999999999999</v>
      </c>
      <c r="D267" s="1">
        <v>265.17599999999999</v>
      </c>
      <c r="E267" s="1">
        <v>-1.28</v>
      </c>
      <c r="G267" s="1">
        <v>265.19499999999999</v>
      </c>
      <c r="H267" s="1">
        <v>-2.0055000000000001</v>
      </c>
      <c r="J267" s="1">
        <v>265.14499999999998</v>
      </c>
      <c r="K267" s="1">
        <v>-0.33300000000000002</v>
      </c>
      <c r="M267" s="1">
        <v>265.22800000000001</v>
      </c>
      <c r="N267" s="1">
        <v>-0.28399999999999997</v>
      </c>
      <c r="P267" s="1">
        <v>265.09399999999999</v>
      </c>
      <c r="Q267" s="1">
        <v>-0.46050000000000002</v>
      </c>
      <c r="S267" s="1">
        <v>265.10700000000003</v>
      </c>
      <c r="T267" s="1">
        <v>-1.6455</v>
      </c>
      <c r="V267" s="1">
        <v>265.113</v>
      </c>
      <c r="W267" s="1">
        <v>-1.675</v>
      </c>
      <c r="Y267" s="1">
        <v>265.08100000000002</v>
      </c>
      <c r="Z267" s="1">
        <v>-1.6034999999999999</v>
      </c>
      <c r="AB267" s="1">
        <v>265.11500000000001</v>
      </c>
      <c r="AC267" s="1">
        <v>-2.8605</v>
      </c>
      <c r="AE267" s="1">
        <v>265.18</v>
      </c>
      <c r="AF267" s="1">
        <v>-2.7130000000000001</v>
      </c>
      <c r="AL267" s="1">
        <v>265.57299999999998</v>
      </c>
      <c r="AM267" s="1">
        <v>-3.621</v>
      </c>
    </row>
    <row r="268" spans="1:39" x14ac:dyDescent="0.2">
      <c r="A268" s="1">
        <v>266.24700000000001</v>
      </c>
      <c r="B268" s="1">
        <v>5.0449999999999999</v>
      </c>
      <c r="D268" s="1">
        <v>266.18099999999998</v>
      </c>
      <c r="E268" s="1">
        <v>-1.3534999999999999</v>
      </c>
      <c r="G268" s="1">
        <v>266.2</v>
      </c>
      <c r="H268" s="1">
        <v>-2.0760000000000001</v>
      </c>
      <c r="J268" s="1">
        <v>266.15100000000001</v>
      </c>
      <c r="K268" s="1">
        <v>-0.40649999999999997</v>
      </c>
      <c r="M268" s="1">
        <v>266.23399999999998</v>
      </c>
      <c r="N268" s="1">
        <v>-0.28050000000000003</v>
      </c>
      <c r="P268" s="1">
        <v>266.09699999999998</v>
      </c>
      <c r="Q268" s="1">
        <v>-0.45600000000000002</v>
      </c>
      <c r="S268" s="1">
        <v>266.11200000000002</v>
      </c>
      <c r="T268" s="1">
        <v>-1.6505000000000001</v>
      </c>
      <c r="V268" s="1">
        <v>266.12099999999998</v>
      </c>
      <c r="W268" s="1">
        <v>-1.677</v>
      </c>
      <c r="Y268" s="1">
        <v>266.08999999999997</v>
      </c>
      <c r="Z268" s="1">
        <v>-1.607</v>
      </c>
      <c r="AB268" s="1">
        <v>266.12</v>
      </c>
      <c r="AC268" s="1">
        <v>-2.8574999999999999</v>
      </c>
      <c r="AE268" s="1">
        <v>266.18900000000002</v>
      </c>
      <c r="AF268" s="1">
        <v>-2.7080000000000002</v>
      </c>
      <c r="AL268" s="1">
        <v>266.584</v>
      </c>
      <c r="AM268" s="1">
        <v>-3.7</v>
      </c>
    </row>
    <row r="269" spans="1:39" x14ac:dyDescent="0.2">
      <c r="A269" s="1">
        <v>267.255</v>
      </c>
      <c r="B269" s="1">
        <v>4.9809999999999999</v>
      </c>
      <c r="D269" s="1">
        <v>267.18700000000001</v>
      </c>
      <c r="E269" s="1">
        <v>-1.4235</v>
      </c>
      <c r="G269" s="1">
        <v>267.20699999999999</v>
      </c>
      <c r="H269" s="1">
        <v>-2.1575000000000002</v>
      </c>
      <c r="J269" s="1">
        <v>267.15499999999997</v>
      </c>
      <c r="K269" s="1">
        <v>-0.47349999999999998</v>
      </c>
      <c r="M269" s="1">
        <v>267.24299999999999</v>
      </c>
      <c r="N269" s="1">
        <v>-0.28849999999999998</v>
      </c>
      <c r="P269" s="1">
        <v>267.10500000000002</v>
      </c>
      <c r="Q269" s="1">
        <v>-0.47</v>
      </c>
      <c r="S269" s="1">
        <v>267.11799999999999</v>
      </c>
      <c r="T269" s="1">
        <v>-1.653</v>
      </c>
      <c r="V269" s="1">
        <v>267.125</v>
      </c>
      <c r="W269" s="1">
        <v>-1.6775</v>
      </c>
      <c r="Y269" s="1">
        <v>267.09800000000001</v>
      </c>
      <c r="Z269" s="1">
        <v>-1.6060000000000001</v>
      </c>
      <c r="AB269" s="1">
        <v>267.12400000000002</v>
      </c>
      <c r="AC269" s="1">
        <v>-2.85</v>
      </c>
      <c r="AE269" s="1">
        <v>267.19600000000003</v>
      </c>
      <c r="AF269" s="1">
        <v>-2.71</v>
      </c>
      <c r="AL269" s="1">
        <v>267.59100000000001</v>
      </c>
      <c r="AM269" s="1">
        <v>-3.7690000000000001</v>
      </c>
    </row>
    <row r="270" spans="1:39" x14ac:dyDescent="0.2">
      <c r="A270" s="1">
        <v>268.26</v>
      </c>
      <c r="B270" s="1">
        <v>4.9295</v>
      </c>
      <c r="D270" s="1">
        <v>268.19200000000001</v>
      </c>
      <c r="E270" s="1">
        <v>-1.5065</v>
      </c>
      <c r="G270" s="1">
        <v>268.21300000000002</v>
      </c>
      <c r="H270" s="1">
        <v>-2.2395</v>
      </c>
      <c r="J270" s="1">
        <v>268.16000000000003</v>
      </c>
      <c r="K270" s="1">
        <v>-0.54300000000000004</v>
      </c>
      <c r="M270" s="1">
        <v>268.25099999999998</v>
      </c>
      <c r="N270" s="1">
        <v>-0.28599999999999998</v>
      </c>
      <c r="P270" s="1">
        <v>268.11</v>
      </c>
      <c r="Q270" s="1">
        <v>-0.46750000000000003</v>
      </c>
      <c r="S270" s="1">
        <v>268.12599999999998</v>
      </c>
      <c r="T270" s="1">
        <v>-1.649</v>
      </c>
      <c r="V270" s="1">
        <v>268.13099999999997</v>
      </c>
      <c r="W270" s="1">
        <v>-1.6835</v>
      </c>
      <c r="Y270" s="1">
        <v>268.10399999999998</v>
      </c>
      <c r="Z270" s="1">
        <v>-1.6120000000000001</v>
      </c>
      <c r="AB270" s="1">
        <v>268.12900000000002</v>
      </c>
      <c r="AC270" s="1">
        <v>-2.8479999999999999</v>
      </c>
      <c r="AE270" s="1">
        <v>268.20100000000002</v>
      </c>
      <c r="AF270" s="1">
        <v>-2.7115</v>
      </c>
      <c r="AL270" s="1">
        <v>268.596</v>
      </c>
      <c r="AM270" s="1">
        <v>-3.84</v>
      </c>
    </row>
    <row r="271" spans="1:39" x14ac:dyDescent="0.2">
      <c r="A271" s="1">
        <v>269.26600000000002</v>
      </c>
      <c r="B271" s="1">
        <v>4.8739999999999997</v>
      </c>
      <c r="D271" s="1">
        <v>269.197</v>
      </c>
      <c r="E271" s="1">
        <v>-1.5825</v>
      </c>
      <c r="G271" s="1">
        <v>269.21800000000002</v>
      </c>
      <c r="H271" s="1">
        <v>-2.3075000000000001</v>
      </c>
      <c r="J271" s="1">
        <v>269.16800000000001</v>
      </c>
      <c r="K271" s="1">
        <v>-0.61150000000000004</v>
      </c>
      <c r="M271" s="1">
        <v>269.25700000000001</v>
      </c>
      <c r="N271" s="1">
        <v>-0.29499999999999998</v>
      </c>
      <c r="P271" s="1">
        <v>269.11399999999998</v>
      </c>
      <c r="Q271" s="1">
        <v>-0.46400000000000002</v>
      </c>
      <c r="S271" s="1">
        <v>269.23099999999999</v>
      </c>
      <c r="T271" s="1">
        <v>-1.6539999999999999</v>
      </c>
      <c r="V271" s="1">
        <v>269.14</v>
      </c>
      <c r="W271" s="1">
        <v>-1.6875</v>
      </c>
      <c r="Y271" s="1">
        <v>269.11200000000002</v>
      </c>
      <c r="Z271" s="1">
        <v>-1.6060000000000001</v>
      </c>
      <c r="AB271" s="1">
        <v>269.13400000000001</v>
      </c>
      <c r="AC271" s="1">
        <v>-2.8460000000000001</v>
      </c>
      <c r="AL271" s="1">
        <v>269.60300000000001</v>
      </c>
      <c r="AM271" s="1">
        <v>-3.9104999999999999</v>
      </c>
    </row>
    <row r="272" spans="1:39" x14ac:dyDescent="0.2">
      <c r="A272" s="1">
        <v>270.27</v>
      </c>
      <c r="B272" s="1">
        <v>4.8194999999999997</v>
      </c>
      <c r="D272" s="1">
        <v>270.20400000000001</v>
      </c>
      <c r="E272" s="1">
        <v>-1.655</v>
      </c>
      <c r="G272" s="1">
        <v>270.22699999999998</v>
      </c>
      <c r="H272" s="1">
        <v>-2.3805000000000001</v>
      </c>
      <c r="J272" s="1">
        <v>270.17399999999998</v>
      </c>
      <c r="K272" s="1">
        <v>-0.67900000000000005</v>
      </c>
      <c r="M272" s="1">
        <v>270.26299999999998</v>
      </c>
      <c r="N272" s="1">
        <v>-0.30299999999999999</v>
      </c>
      <c r="P272" s="1">
        <v>270.12200000000001</v>
      </c>
      <c r="Q272" s="1">
        <v>-0.47299999999999998</v>
      </c>
      <c r="S272" s="1">
        <v>270.23700000000002</v>
      </c>
      <c r="T272" s="1">
        <v>-1.6575</v>
      </c>
      <c r="V272" s="1">
        <v>270.14499999999998</v>
      </c>
      <c r="W272" s="1">
        <v>-1.6859999999999999</v>
      </c>
      <c r="Y272" s="1">
        <v>270.11900000000003</v>
      </c>
      <c r="Z272" s="1">
        <v>-1.6074999999999999</v>
      </c>
      <c r="AB272" s="1">
        <v>270.14</v>
      </c>
      <c r="AC272" s="1">
        <v>-2.8374999999999999</v>
      </c>
      <c r="AL272" s="1">
        <v>270.61</v>
      </c>
      <c r="AM272" s="1">
        <v>-3.9744999999999999</v>
      </c>
    </row>
    <row r="273" spans="1:39" x14ac:dyDescent="0.2">
      <c r="A273" s="1">
        <v>271.27600000000001</v>
      </c>
      <c r="B273" s="1">
        <v>4.7725</v>
      </c>
      <c r="D273" s="1">
        <v>271.209</v>
      </c>
      <c r="E273" s="1">
        <v>-1.7330000000000001</v>
      </c>
      <c r="G273" s="1">
        <v>271.23399999999998</v>
      </c>
      <c r="H273" s="1">
        <v>-2.4500000000000002</v>
      </c>
      <c r="J273" s="1">
        <v>271.18200000000002</v>
      </c>
      <c r="K273" s="1">
        <v>-0.74350000000000005</v>
      </c>
      <c r="M273" s="1">
        <v>271.26900000000001</v>
      </c>
      <c r="N273" s="1">
        <v>-0.3075</v>
      </c>
      <c r="P273" s="1">
        <v>271.12900000000002</v>
      </c>
      <c r="Q273" s="1">
        <v>-0.47649999999999998</v>
      </c>
      <c r="S273" s="1">
        <v>271.24200000000002</v>
      </c>
      <c r="T273" s="1">
        <v>-1.65</v>
      </c>
      <c r="V273" s="1">
        <v>271.14699999999999</v>
      </c>
      <c r="W273" s="1">
        <v>-1.6845000000000001</v>
      </c>
      <c r="Y273" s="1">
        <v>271.12700000000001</v>
      </c>
      <c r="Z273" s="1">
        <v>-1.6185</v>
      </c>
      <c r="AB273" s="1">
        <v>271.14400000000001</v>
      </c>
      <c r="AC273" s="1">
        <v>-2.8365</v>
      </c>
      <c r="AL273" s="1">
        <v>271.61700000000002</v>
      </c>
      <c r="AM273" s="1">
        <v>-4.0425000000000004</v>
      </c>
    </row>
    <row r="274" spans="1:39" x14ac:dyDescent="0.2">
      <c r="A274" s="1">
        <v>272.28199999999998</v>
      </c>
      <c r="B274" s="1">
        <v>4.7184999999999997</v>
      </c>
      <c r="D274" s="1">
        <v>272.214</v>
      </c>
      <c r="E274" s="1">
        <v>-1.8185</v>
      </c>
      <c r="G274" s="1">
        <v>272.24099999999999</v>
      </c>
      <c r="H274" s="1">
        <v>-2.5074999999999998</v>
      </c>
      <c r="J274" s="1">
        <v>272.18700000000001</v>
      </c>
      <c r="K274" s="1">
        <v>-0.78700000000000003</v>
      </c>
      <c r="M274" s="1">
        <v>272.27499999999998</v>
      </c>
      <c r="N274" s="1">
        <v>-0.32400000000000001</v>
      </c>
      <c r="P274" s="1">
        <v>272.13400000000001</v>
      </c>
      <c r="Q274" s="1">
        <v>-0.47</v>
      </c>
      <c r="S274" s="1">
        <v>272.24900000000002</v>
      </c>
      <c r="T274" s="1">
        <v>-1.653</v>
      </c>
      <c r="V274" s="1">
        <v>272.154</v>
      </c>
      <c r="W274" s="1">
        <v>-1.6930000000000001</v>
      </c>
      <c r="Y274" s="1">
        <v>272.13299999999998</v>
      </c>
      <c r="Z274" s="1">
        <v>-1.613</v>
      </c>
      <c r="AB274" s="1">
        <v>272.149</v>
      </c>
      <c r="AC274" s="1">
        <v>-2.8325</v>
      </c>
      <c r="AL274" s="1">
        <v>272.625</v>
      </c>
      <c r="AM274" s="1">
        <v>-4.1159999999999997</v>
      </c>
    </row>
    <row r="275" spans="1:39" x14ac:dyDescent="0.2">
      <c r="A275" s="1">
        <v>273.286</v>
      </c>
      <c r="B275" s="1">
        <v>4.6574999999999998</v>
      </c>
      <c r="D275" s="1">
        <v>273.21800000000002</v>
      </c>
      <c r="E275" s="1">
        <v>-1.8805000000000001</v>
      </c>
      <c r="G275" s="1">
        <v>273.245</v>
      </c>
      <c r="H275" s="1">
        <v>-2.5924999999999998</v>
      </c>
      <c r="J275" s="1">
        <v>273.19600000000003</v>
      </c>
      <c r="K275" s="1">
        <v>-0.79800000000000004</v>
      </c>
      <c r="M275" s="1">
        <v>273.29399999999998</v>
      </c>
      <c r="N275" s="1">
        <v>-0.34</v>
      </c>
      <c r="P275" s="1">
        <v>273.13799999999998</v>
      </c>
      <c r="Q275" s="1">
        <v>-0.47399999999999998</v>
      </c>
      <c r="S275" s="1">
        <v>273.25799999999998</v>
      </c>
      <c r="T275" s="1">
        <v>-1.6535</v>
      </c>
      <c r="V275" s="1">
        <v>273.161</v>
      </c>
      <c r="W275" s="1">
        <v>-1.6919999999999999</v>
      </c>
      <c r="Y275" s="1">
        <v>273.13900000000001</v>
      </c>
      <c r="Z275" s="1">
        <v>-1.619</v>
      </c>
      <c r="AB275" s="1">
        <v>273.15499999999997</v>
      </c>
      <c r="AC275" s="1">
        <v>-2.8344999999999998</v>
      </c>
      <c r="AL275" s="1">
        <v>273.62799999999999</v>
      </c>
      <c r="AM275" s="1">
        <v>-4.1764999999999999</v>
      </c>
    </row>
    <row r="276" spans="1:39" x14ac:dyDescent="0.2">
      <c r="A276" s="1">
        <v>274.29500000000002</v>
      </c>
      <c r="B276" s="1">
        <v>4.601</v>
      </c>
      <c r="D276" s="1">
        <v>274.22199999999998</v>
      </c>
      <c r="E276" s="1">
        <v>-1.958</v>
      </c>
      <c r="G276" s="1">
        <v>274.25099999999998</v>
      </c>
      <c r="H276" s="1">
        <v>-2.6555</v>
      </c>
      <c r="J276" s="1">
        <v>274.20299999999997</v>
      </c>
      <c r="K276" s="1">
        <v>-0.72899999999999998</v>
      </c>
      <c r="M276" s="1">
        <v>274.29899999999998</v>
      </c>
      <c r="N276" s="1">
        <v>-0.34350000000000003</v>
      </c>
      <c r="P276" s="1">
        <v>274.14499999999998</v>
      </c>
      <c r="Q276" s="1">
        <v>-0.47849999999999998</v>
      </c>
      <c r="S276" s="1">
        <v>274.26299999999998</v>
      </c>
      <c r="T276" s="1">
        <v>-1.6679999999999999</v>
      </c>
      <c r="V276" s="1">
        <v>274.16800000000001</v>
      </c>
      <c r="W276" s="1">
        <v>-1.6924999999999999</v>
      </c>
      <c r="Y276" s="1">
        <v>274.14400000000001</v>
      </c>
      <c r="Z276" s="1">
        <v>-1.6180000000000001</v>
      </c>
      <c r="AB276" s="1">
        <v>274.16300000000001</v>
      </c>
      <c r="AC276" s="1">
        <v>-2.835</v>
      </c>
      <c r="AL276" s="1">
        <v>274.63400000000001</v>
      </c>
      <c r="AM276" s="1">
        <v>-4.2309999999999999</v>
      </c>
    </row>
    <row r="277" spans="1:39" x14ac:dyDescent="0.2">
      <c r="A277" s="1">
        <v>275.30399999999997</v>
      </c>
      <c r="B277" s="1">
        <v>4.5465</v>
      </c>
      <c r="D277" s="1">
        <v>275.22500000000002</v>
      </c>
      <c r="E277" s="1">
        <v>-2.0385</v>
      </c>
      <c r="G277" s="1">
        <v>275.25799999999998</v>
      </c>
      <c r="H277" s="1">
        <v>-2.7360000000000002</v>
      </c>
      <c r="J277" s="1">
        <v>275.20999999999998</v>
      </c>
      <c r="K277" s="1">
        <v>-0.62050000000000005</v>
      </c>
      <c r="M277" s="1">
        <v>275.30399999999997</v>
      </c>
      <c r="N277" s="1">
        <v>-0.35099999999999998</v>
      </c>
      <c r="S277" s="1">
        <v>275.267</v>
      </c>
      <c r="T277" s="1">
        <v>-1.6715</v>
      </c>
      <c r="V277" s="1">
        <v>275.173</v>
      </c>
      <c r="W277" s="1">
        <v>-1.696</v>
      </c>
      <c r="Y277" s="1">
        <v>275.15100000000001</v>
      </c>
      <c r="Z277" s="1">
        <v>-1.6245000000000001</v>
      </c>
      <c r="AB277" s="1">
        <v>275.173</v>
      </c>
      <c r="AC277" s="1">
        <v>-2.8374999999999999</v>
      </c>
      <c r="AL277" s="1">
        <v>275.64</v>
      </c>
      <c r="AM277" s="1">
        <v>-4.2824999999999998</v>
      </c>
    </row>
    <row r="278" spans="1:39" x14ac:dyDescent="0.2">
      <c r="A278" s="1">
        <v>276.31099999999998</v>
      </c>
      <c r="B278" s="1">
        <v>4.4954999999999998</v>
      </c>
      <c r="D278" s="1">
        <v>276.22699999999998</v>
      </c>
      <c r="E278" s="1">
        <v>-2.1114999999999999</v>
      </c>
      <c r="G278" s="1">
        <v>276.26400000000001</v>
      </c>
      <c r="H278" s="1">
        <v>-2.8079999999999998</v>
      </c>
      <c r="J278" s="1">
        <v>276.214</v>
      </c>
      <c r="K278" s="1">
        <v>-0.50149999999999995</v>
      </c>
      <c r="M278" s="1">
        <v>276.31099999999998</v>
      </c>
      <c r="N278" s="1">
        <v>-0.34250000000000003</v>
      </c>
      <c r="S278" s="1">
        <v>276.27300000000002</v>
      </c>
      <c r="T278" s="1">
        <v>-1.6735</v>
      </c>
      <c r="V278" s="1">
        <v>276.178</v>
      </c>
      <c r="W278" s="1">
        <v>-1.6990000000000001</v>
      </c>
      <c r="Y278" s="1">
        <v>276.15899999999999</v>
      </c>
      <c r="Z278" s="1">
        <v>-1.6220000000000001</v>
      </c>
      <c r="AL278" s="1">
        <v>276.64499999999998</v>
      </c>
      <c r="AM278" s="1">
        <v>-4.3334999999999999</v>
      </c>
    </row>
    <row r="279" spans="1:39" x14ac:dyDescent="0.2">
      <c r="A279" s="1">
        <v>277.31700000000001</v>
      </c>
      <c r="B279" s="1">
        <v>4.4375</v>
      </c>
      <c r="D279" s="1">
        <v>277.233</v>
      </c>
      <c r="E279" s="1">
        <v>-2.1884999999999999</v>
      </c>
      <c r="G279" s="1">
        <v>277.26900000000001</v>
      </c>
      <c r="H279" s="1">
        <v>-2.8784999999999998</v>
      </c>
      <c r="J279" s="1">
        <v>277.21699999999998</v>
      </c>
      <c r="K279" s="1">
        <v>-0.3795</v>
      </c>
      <c r="M279" s="1">
        <v>277.31799999999998</v>
      </c>
      <c r="N279" s="1">
        <v>-0.32850000000000001</v>
      </c>
      <c r="S279" s="1">
        <v>277.28100000000001</v>
      </c>
      <c r="T279" s="1">
        <v>-1.677</v>
      </c>
      <c r="V279" s="1">
        <v>277.18400000000003</v>
      </c>
      <c r="W279" s="1">
        <v>-1.6975</v>
      </c>
      <c r="Y279" s="1">
        <v>277.16500000000002</v>
      </c>
      <c r="Z279" s="1">
        <v>-1.6240000000000001</v>
      </c>
      <c r="AL279" s="1">
        <v>277.649</v>
      </c>
      <c r="AM279" s="1">
        <v>-4.38</v>
      </c>
    </row>
    <row r="280" spans="1:39" x14ac:dyDescent="0.2">
      <c r="A280" s="1">
        <v>278.32400000000001</v>
      </c>
      <c r="B280" s="1">
        <v>4.383</v>
      </c>
      <c r="D280" s="1">
        <v>278.24</v>
      </c>
      <c r="E280" s="1">
        <v>-2.262</v>
      </c>
      <c r="G280" s="1">
        <v>278.27300000000002</v>
      </c>
      <c r="H280" s="1">
        <v>-2.9580000000000002</v>
      </c>
      <c r="J280" s="1">
        <v>278.22500000000002</v>
      </c>
      <c r="K280" s="1">
        <v>-0.29699999999999999</v>
      </c>
      <c r="M280" s="1">
        <v>278.32400000000001</v>
      </c>
      <c r="N280" s="1">
        <v>-0.3105</v>
      </c>
      <c r="S280" s="1">
        <v>278.291</v>
      </c>
      <c r="T280" s="1">
        <v>-1.6830000000000001</v>
      </c>
      <c r="V280" s="1">
        <v>278.18900000000002</v>
      </c>
      <c r="W280" s="1">
        <v>-1.6935</v>
      </c>
      <c r="Y280" s="1">
        <v>278.17099999999999</v>
      </c>
      <c r="Z280" s="1">
        <v>-1.6319999999999999</v>
      </c>
      <c r="AL280" s="1">
        <v>278.65699999999998</v>
      </c>
      <c r="AM280" s="1">
        <v>-4.4074999999999998</v>
      </c>
    </row>
    <row r="281" spans="1:39" x14ac:dyDescent="0.2">
      <c r="A281" s="1">
        <v>279.33</v>
      </c>
      <c r="B281" s="1">
        <v>4.3390000000000004</v>
      </c>
      <c r="D281" s="1">
        <v>279.24700000000001</v>
      </c>
      <c r="E281" s="1">
        <v>-2.3395000000000001</v>
      </c>
      <c r="G281" s="1">
        <v>279.279</v>
      </c>
      <c r="H281" s="1">
        <v>-3.0425</v>
      </c>
      <c r="J281" s="1">
        <v>279.23099999999999</v>
      </c>
      <c r="K281" s="1">
        <v>-0.22</v>
      </c>
      <c r="M281" s="1">
        <v>279.32799999999997</v>
      </c>
      <c r="N281" s="1">
        <v>-0.30149999999999999</v>
      </c>
      <c r="S281" s="1">
        <v>279.298</v>
      </c>
      <c r="T281" s="1">
        <v>-1.6735</v>
      </c>
      <c r="V281" s="1">
        <v>279.19400000000002</v>
      </c>
      <c r="W281" s="1">
        <v>-1.6935</v>
      </c>
      <c r="Y281" s="1">
        <v>279.178</v>
      </c>
      <c r="Z281" s="1">
        <v>-1.6285000000000001</v>
      </c>
      <c r="AL281" s="1">
        <v>279.66199999999998</v>
      </c>
      <c r="AM281" s="1">
        <v>-4.4390000000000001</v>
      </c>
    </row>
    <row r="282" spans="1:39" x14ac:dyDescent="0.2">
      <c r="A282" s="1">
        <v>280.33600000000001</v>
      </c>
      <c r="B282" s="1">
        <v>4.2839999999999998</v>
      </c>
      <c r="D282" s="1">
        <v>280.25099999999998</v>
      </c>
      <c r="E282" s="1">
        <v>-2.4159999999999999</v>
      </c>
      <c r="G282" s="1">
        <v>280.28500000000003</v>
      </c>
      <c r="H282" s="1">
        <v>-3.1105</v>
      </c>
      <c r="J282" s="1">
        <v>280.23700000000002</v>
      </c>
      <c r="K282" s="1">
        <v>-0.1585</v>
      </c>
      <c r="M282" s="1">
        <v>280.33300000000003</v>
      </c>
      <c r="N282" s="1">
        <v>-0.29699999999999999</v>
      </c>
      <c r="S282" s="1">
        <v>280.30200000000002</v>
      </c>
      <c r="T282" s="1">
        <v>-1.6839999999999999</v>
      </c>
      <c r="V282" s="1">
        <v>280.19900000000001</v>
      </c>
      <c r="W282" s="1">
        <v>-1.6930000000000001</v>
      </c>
      <c r="Y282" s="1">
        <v>280.18299999999999</v>
      </c>
      <c r="Z282" s="1">
        <v>-1.6359999999999999</v>
      </c>
      <c r="AL282" s="1">
        <v>280.66699999999997</v>
      </c>
      <c r="AM282" s="1">
        <v>-4.4584999999999999</v>
      </c>
    </row>
    <row r="283" spans="1:39" x14ac:dyDescent="0.2">
      <c r="A283" s="1">
        <v>281.34300000000002</v>
      </c>
      <c r="B283" s="1">
        <v>4.2294999999999998</v>
      </c>
      <c r="D283" s="1">
        <v>281.25799999999998</v>
      </c>
      <c r="E283" s="1">
        <v>-2.4914999999999998</v>
      </c>
      <c r="G283" s="1">
        <v>281.28899999999999</v>
      </c>
      <c r="H283" s="1">
        <v>-3.1819999999999999</v>
      </c>
      <c r="J283" s="1">
        <v>281.24200000000002</v>
      </c>
      <c r="K283" s="1">
        <v>-0.1295</v>
      </c>
      <c r="M283" s="1">
        <v>281.33699999999999</v>
      </c>
      <c r="N283" s="1">
        <v>-0.28849999999999998</v>
      </c>
      <c r="S283" s="1">
        <v>281.30799999999999</v>
      </c>
      <c r="T283" s="1">
        <v>-1.6835</v>
      </c>
      <c r="V283" s="1">
        <v>281.20800000000003</v>
      </c>
      <c r="W283" s="1">
        <v>-1.694</v>
      </c>
      <c r="Y283" s="1">
        <v>281.18799999999999</v>
      </c>
      <c r="Z283" s="1">
        <v>-1.6345000000000001</v>
      </c>
      <c r="AL283" s="1">
        <v>281.67399999999998</v>
      </c>
      <c r="AM283" s="1">
        <v>-4.4619999999999997</v>
      </c>
    </row>
    <row r="284" spans="1:39" x14ac:dyDescent="0.2">
      <c r="A284" s="1">
        <v>282.351</v>
      </c>
      <c r="B284" s="1">
        <v>4.1760000000000002</v>
      </c>
      <c r="D284" s="1">
        <v>282.26400000000001</v>
      </c>
      <c r="E284" s="1">
        <v>-2.5575000000000001</v>
      </c>
      <c r="G284" s="1">
        <v>282.29399999999998</v>
      </c>
      <c r="H284" s="1">
        <v>-3.2589999999999999</v>
      </c>
      <c r="J284" s="1">
        <v>282.24799999999999</v>
      </c>
      <c r="K284" s="1">
        <v>-0.1085</v>
      </c>
      <c r="M284" s="1">
        <v>282.34300000000002</v>
      </c>
      <c r="N284" s="1">
        <v>-0.29599999999999999</v>
      </c>
      <c r="S284" s="1">
        <v>282.31299999999999</v>
      </c>
      <c r="T284" s="1">
        <v>-1.6970000000000001</v>
      </c>
      <c r="V284" s="1">
        <v>282.214</v>
      </c>
      <c r="W284" s="1">
        <v>-1.6935</v>
      </c>
      <c r="Y284" s="1">
        <v>282.19499999999999</v>
      </c>
      <c r="Z284" s="1">
        <v>-1.6419999999999999</v>
      </c>
      <c r="AL284" s="1">
        <v>282.69900000000001</v>
      </c>
      <c r="AM284" s="1">
        <v>-4.4569999999999999</v>
      </c>
    </row>
    <row r="285" spans="1:39" x14ac:dyDescent="0.2">
      <c r="A285" s="1">
        <v>283.35899999999998</v>
      </c>
      <c r="B285" s="1">
        <v>4.13</v>
      </c>
      <c r="D285" s="1">
        <v>283.267</v>
      </c>
      <c r="E285" s="1">
        <v>-2.6349999999999998</v>
      </c>
      <c r="G285" s="1">
        <v>283.30099999999999</v>
      </c>
      <c r="H285" s="1">
        <v>-3.3290000000000002</v>
      </c>
      <c r="J285" s="1">
        <v>283.25400000000002</v>
      </c>
      <c r="K285" s="1">
        <v>-8.2000000000000003E-2</v>
      </c>
      <c r="M285" s="1">
        <v>283.34800000000001</v>
      </c>
      <c r="N285" s="1">
        <v>-0.3</v>
      </c>
      <c r="V285" s="1">
        <v>283.22199999999998</v>
      </c>
      <c r="W285" s="1">
        <v>-1.6944999999999999</v>
      </c>
      <c r="Y285" s="1">
        <v>283.20299999999997</v>
      </c>
      <c r="Z285" s="1">
        <v>-1.6479999999999999</v>
      </c>
      <c r="AL285" s="1">
        <v>283.70400000000001</v>
      </c>
      <c r="AM285" s="1">
        <v>-4.4284999999999997</v>
      </c>
    </row>
    <row r="286" spans="1:39" x14ac:dyDescent="0.2">
      <c r="A286" s="1">
        <v>284.36500000000001</v>
      </c>
      <c r="B286" s="1">
        <v>4.0709999999999997</v>
      </c>
      <c r="D286" s="1">
        <v>284.27300000000002</v>
      </c>
      <c r="E286" s="1">
        <v>-2.7044999999999999</v>
      </c>
      <c r="G286" s="1">
        <v>284.30900000000003</v>
      </c>
      <c r="H286" s="1">
        <v>-3.4049999999999998</v>
      </c>
      <c r="J286" s="1">
        <v>284.262</v>
      </c>
      <c r="K286" s="1">
        <v>-0.08</v>
      </c>
      <c r="M286" s="1">
        <v>284.35300000000001</v>
      </c>
      <c r="N286" s="1">
        <v>-0.30099999999999999</v>
      </c>
      <c r="V286" s="1">
        <v>284.233</v>
      </c>
      <c r="W286" s="1">
        <v>-1.6950000000000001</v>
      </c>
      <c r="Y286" s="1">
        <v>284.209</v>
      </c>
      <c r="Z286" s="1">
        <v>-1.645</v>
      </c>
      <c r="AL286" s="1">
        <v>284.71199999999999</v>
      </c>
      <c r="AM286" s="1">
        <v>-4.4039999999999999</v>
      </c>
    </row>
    <row r="287" spans="1:39" x14ac:dyDescent="0.2">
      <c r="A287" s="1">
        <v>285.37</v>
      </c>
      <c r="B287" s="1">
        <v>4.0209999999999999</v>
      </c>
      <c r="D287" s="1">
        <v>285.28199999999998</v>
      </c>
      <c r="E287" s="1">
        <v>-2.7885</v>
      </c>
      <c r="G287" s="1">
        <v>285.31700000000001</v>
      </c>
      <c r="H287" s="1">
        <v>-3.4805000000000001</v>
      </c>
      <c r="J287" s="1">
        <v>285.267</v>
      </c>
      <c r="K287" s="1">
        <v>-8.2000000000000003E-2</v>
      </c>
      <c r="M287" s="1">
        <v>285.35899999999998</v>
      </c>
      <c r="N287" s="1">
        <v>-0.3</v>
      </c>
      <c r="V287" s="1">
        <v>285.238</v>
      </c>
      <c r="W287" s="1">
        <v>-1.6990000000000001</v>
      </c>
      <c r="Y287" s="1">
        <v>285.214</v>
      </c>
      <c r="Z287" s="1">
        <v>-1.6455</v>
      </c>
      <c r="AL287" s="1">
        <v>285.72199999999998</v>
      </c>
      <c r="AM287" s="1">
        <v>-4.3630000000000004</v>
      </c>
    </row>
    <row r="288" spans="1:39" x14ac:dyDescent="0.2">
      <c r="A288" s="1">
        <v>286.37599999999998</v>
      </c>
      <c r="B288" s="1">
        <v>3.9729999999999999</v>
      </c>
      <c r="D288" s="1">
        <v>286.28800000000001</v>
      </c>
      <c r="E288" s="1">
        <v>-2.8584999999999998</v>
      </c>
      <c r="G288" s="1">
        <v>286.322</v>
      </c>
      <c r="H288" s="1">
        <v>-3.55</v>
      </c>
      <c r="J288" s="1">
        <v>286.27300000000002</v>
      </c>
      <c r="K288" s="1">
        <v>-7.1499999999999994E-2</v>
      </c>
      <c r="M288" s="1">
        <v>286.363</v>
      </c>
      <c r="N288" s="1">
        <v>-0.29449999999999998</v>
      </c>
      <c r="V288" s="1">
        <v>286.24400000000003</v>
      </c>
      <c r="W288" s="1">
        <v>-1.6970000000000001</v>
      </c>
      <c r="Y288" s="1">
        <v>286.22000000000003</v>
      </c>
      <c r="Z288" s="1">
        <v>-1.6439999999999999</v>
      </c>
      <c r="AL288" s="1">
        <v>286.73099999999999</v>
      </c>
      <c r="AM288" s="1">
        <v>-4.3254999999999999</v>
      </c>
    </row>
    <row r="289" spans="1:39" x14ac:dyDescent="0.2">
      <c r="A289" s="1">
        <v>287.38400000000001</v>
      </c>
      <c r="B289" s="1">
        <v>3.9220000000000002</v>
      </c>
      <c r="D289" s="1">
        <v>287.29399999999998</v>
      </c>
      <c r="E289" s="1">
        <v>-2.9359999999999999</v>
      </c>
      <c r="G289" s="1">
        <v>287.33</v>
      </c>
      <c r="H289" s="1">
        <v>-3.6234999999999999</v>
      </c>
      <c r="J289" s="1">
        <v>287.28100000000001</v>
      </c>
      <c r="K289" s="1">
        <v>-8.0500000000000002E-2</v>
      </c>
      <c r="M289" s="1">
        <v>287.37</v>
      </c>
      <c r="N289" s="1">
        <v>-0.28249999999999997</v>
      </c>
      <c r="V289" s="1">
        <v>287.24900000000002</v>
      </c>
      <c r="W289" s="1">
        <v>-1.7</v>
      </c>
      <c r="Y289" s="1">
        <v>287.22699999999998</v>
      </c>
      <c r="Z289" s="1">
        <v>-1.635</v>
      </c>
      <c r="AL289" s="1">
        <v>287.738</v>
      </c>
      <c r="AM289" s="1">
        <v>-4.2779999999999996</v>
      </c>
    </row>
    <row r="290" spans="1:39" x14ac:dyDescent="0.2">
      <c r="A290" s="1">
        <v>288.38799999999998</v>
      </c>
      <c r="B290" s="1">
        <v>3.8664999999999998</v>
      </c>
      <c r="D290" s="1">
        <v>288.29899999999998</v>
      </c>
      <c r="E290" s="1">
        <v>-3.0110000000000001</v>
      </c>
      <c r="G290" s="1">
        <v>288.334</v>
      </c>
      <c r="H290" s="1">
        <v>-3.694</v>
      </c>
      <c r="J290" s="1">
        <v>288.28500000000003</v>
      </c>
      <c r="K290" s="1">
        <v>-8.7999999999999995E-2</v>
      </c>
      <c r="M290" s="1">
        <v>288.37799999999999</v>
      </c>
      <c r="N290" s="1">
        <v>-0.27050000000000002</v>
      </c>
      <c r="V290" s="1">
        <v>288.25700000000001</v>
      </c>
      <c r="W290" s="1">
        <v>-1.696</v>
      </c>
      <c r="AL290" s="1">
        <v>288.74299999999999</v>
      </c>
      <c r="AM290" s="1">
        <v>-4.2370000000000001</v>
      </c>
    </row>
    <row r="291" spans="1:39" x14ac:dyDescent="0.2">
      <c r="A291" s="1">
        <v>289.39100000000002</v>
      </c>
      <c r="B291" s="1">
        <v>3.8079999999999998</v>
      </c>
      <c r="D291" s="1">
        <v>289.30200000000002</v>
      </c>
      <c r="E291" s="1">
        <v>-3.0874999999999999</v>
      </c>
      <c r="G291" s="1">
        <v>289.33999999999997</v>
      </c>
      <c r="H291" s="1">
        <v>-3.7610000000000001</v>
      </c>
      <c r="J291" s="1">
        <v>289.291</v>
      </c>
      <c r="K291" s="1">
        <v>-8.7499999999999994E-2</v>
      </c>
      <c r="M291" s="1">
        <v>289.38299999999998</v>
      </c>
      <c r="N291" s="1">
        <v>-0.2525</v>
      </c>
      <c r="V291" s="1">
        <v>289.267</v>
      </c>
      <c r="W291" s="1">
        <v>-1.698</v>
      </c>
      <c r="AL291" s="1">
        <v>289.75599999999997</v>
      </c>
      <c r="AM291" s="1">
        <v>-4.1974999999999998</v>
      </c>
    </row>
    <row r="292" spans="1:39" x14ac:dyDescent="0.2">
      <c r="A292" s="1">
        <v>290.399</v>
      </c>
      <c r="B292" s="1">
        <v>3.7595000000000001</v>
      </c>
      <c r="D292" s="1">
        <v>290.30700000000002</v>
      </c>
      <c r="E292" s="1">
        <v>-3.16</v>
      </c>
      <c r="G292" s="1">
        <v>290.34399999999999</v>
      </c>
      <c r="H292" s="1">
        <v>-3.8384999999999998</v>
      </c>
      <c r="J292" s="1">
        <v>290.29500000000002</v>
      </c>
      <c r="K292" s="1">
        <v>-8.7999999999999995E-2</v>
      </c>
      <c r="M292" s="1">
        <v>290.38799999999998</v>
      </c>
      <c r="N292" s="1">
        <v>-0.23300000000000001</v>
      </c>
      <c r="V292" s="1">
        <v>290.27600000000001</v>
      </c>
      <c r="W292" s="1">
        <v>-1.702</v>
      </c>
      <c r="AL292" s="1">
        <v>290.77999999999997</v>
      </c>
      <c r="AM292" s="1">
        <v>-4.1609999999999996</v>
      </c>
    </row>
    <row r="293" spans="1:39" x14ac:dyDescent="0.2">
      <c r="A293" s="1">
        <v>291.40199999999999</v>
      </c>
      <c r="B293" s="1">
        <v>3.7050000000000001</v>
      </c>
      <c r="D293" s="1">
        <v>291.31099999999998</v>
      </c>
      <c r="E293" s="1">
        <v>-3.2349999999999999</v>
      </c>
      <c r="G293" s="1">
        <v>291.34899999999999</v>
      </c>
      <c r="H293" s="1">
        <v>-3.8980000000000001</v>
      </c>
      <c r="J293" s="1">
        <v>291.30099999999999</v>
      </c>
      <c r="K293" s="1">
        <v>-8.7499999999999994E-2</v>
      </c>
      <c r="M293" s="1">
        <v>291.392</v>
      </c>
      <c r="N293" s="1">
        <v>-0.22650000000000001</v>
      </c>
      <c r="V293" s="1">
        <v>291.28100000000001</v>
      </c>
      <c r="W293" s="1">
        <v>-1.7004999999999999</v>
      </c>
      <c r="AL293" s="1">
        <v>291.82100000000003</v>
      </c>
      <c r="AM293" s="1">
        <v>-4.141</v>
      </c>
    </row>
    <row r="294" spans="1:39" x14ac:dyDescent="0.2">
      <c r="A294" s="1">
        <v>292.40699999999998</v>
      </c>
      <c r="B294" s="1">
        <v>3.6509999999999998</v>
      </c>
      <c r="D294" s="1">
        <v>292.315</v>
      </c>
      <c r="E294" s="1">
        <v>-3.3029999999999999</v>
      </c>
      <c r="G294" s="1">
        <v>292.35300000000001</v>
      </c>
      <c r="H294" s="1">
        <v>-3.9609999999999999</v>
      </c>
      <c r="J294" s="1">
        <v>292.30599999999998</v>
      </c>
      <c r="K294" s="1">
        <v>-0.10050000000000001</v>
      </c>
      <c r="M294" s="1">
        <v>292.39999999999998</v>
      </c>
      <c r="N294" s="1">
        <v>-0.20899999999999999</v>
      </c>
      <c r="V294" s="1">
        <v>292.28699999999998</v>
      </c>
      <c r="W294" s="1">
        <v>-1.7075</v>
      </c>
      <c r="AL294" s="1">
        <v>292.93099999999998</v>
      </c>
      <c r="AM294" s="1">
        <v>-4.1040000000000001</v>
      </c>
    </row>
    <row r="295" spans="1:39" x14ac:dyDescent="0.2">
      <c r="A295" s="1">
        <v>293.41399999999999</v>
      </c>
      <c r="B295" s="1">
        <v>3.6030000000000002</v>
      </c>
      <c r="D295" s="1">
        <v>293.322</v>
      </c>
      <c r="E295" s="1">
        <v>-3.379</v>
      </c>
      <c r="G295" s="1">
        <v>293.358</v>
      </c>
      <c r="H295" s="1">
        <v>-4.0149999999999997</v>
      </c>
      <c r="J295" s="1">
        <v>293.31099999999998</v>
      </c>
      <c r="K295" s="1">
        <v>-0.1205</v>
      </c>
      <c r="M295" s="1">
        <v>293.40600000000001</v>
      </c>
      <c r="N295" s="1">
        <v>-0.21</v>
      </c>
      <c r="V295" s="1">
        <v>293.29199999999997</v>
      </c>
      <c r="W295" s="1">
        <v>-1.7155</v>
      </c>
      <c r="AL295" s="1">
        <v>293.93799999999999</v>
      </c>
      <c r="AM295" s="1">
        <v>-4.0925000000000002</v>
      </c>
    </row>
    <row r="296" spans="1:39" x14ac:dyDescent="0.2">
      <c r="A296" s="1">
        <v>294.42200000000003</v>
      </c>
      <c r="B296" s="1">
        <v>3.5409999999999999</v>
      </c>
      <c r="D296" s="1">
        <v>294.32799999999997</v>
      </c>
      <c r="E296" s="1">
        <v>-3.4609999999999999</v>
      </c>
      <c r="G296" s="1">
        <v>294.36599999999999</v>
      </c>
      <c r="H296" s="1">
        <v>-4.0845000000000002</v>
      </c>
      <c r="J296" s="1">
        <v>294.32</v>
      </c>
      <c r="K296" s="1">
        <v>-0.13450000000000001</v>
      </c>
      <c r="M296" s="1">
        <v>294.41300000000001</v>
      </c>
      <c r="N296" s="1">
        <v>-0.20300000000000001</v>
      </c>
      <c r="V296" s="1">
        <v>294.29899999999998</v>
      </c>
      <c r="W296" s="1">
        <v>-1.71</v>
      </c>
      <c r="AL296" s="1">
        <v>294.94299999999998</v>
      </c>
      <c r="AM296" s="1">
        <v>-4.0655000000000001</v>
      </c>
    </row>
    <row r="297" spans="1:39" x14ac:dyDescent="0.2">
      <c r="A297" s="1">
        <v>295.43200000000002</v>
      </c>
      <c r="B297" s="1">
        <v>3.4834999999999998</v>
      </c>
      <c r="D297" s="1">
        <v>295.334</v>
      </c>
      <c r="E297" s="1">
        <v>-3.5350000000000001</v>
      </c>
      <c r="G297" s="1">
        <v>295.37099999999998</v>
      </c>
      <c r="H297" s="1">
        <v>-4.1595000000000004</v>
      </c>
      <c r="J297" s="1">
        <v>295.32600000000002</v>
      </c>
      <c r="K297" s="1">
        <v>-0.13650000000000001</v>
      </c>
      <c r="M297" s="1">
        <v>295.42200000000003</v>
      </c>
      <c r="N297" s="1">
        <v>-0.19600000000000001</v>
      </c>
      <c r="V297" s="1">
        <v>295.30399999999997</v>
      </c>
      <c r="W297" s="1">
        <v>-1.7070000000000001</v>
      </c>
      <c r="AL297" s="1">
        <v>295.96300000000002</v>
      </c>
      <c r="AM297" s="1">
        <v>-4.0570000000000004</v>
      </c>
    </row>
    <row r="298" spans="1:39" x14ac:dyDescent="0.2">
      <c r="A298" s="1">
        <v>296.43599999999998</v>
      </c>
      <c r="B298" s="1">
        <v>3.431</v>
      </c>
      <c r="D298" s="1">
        <v>296.34199999999998</v>
      </c>
      <c r="E298" s="1">
        <v>-3.6120000000000001</v>
      </c>
      <c r="G298" s="1">
        <v>296.38099999999997</v>
      </c>
      <c r="H298" s="1">
        <v>-4.2329999999999997</v>
      </c>
      <c r="J298" s="1">
        <v>296.33100000000002</v>
      </c>
      <c r="K298" s="1">
        <v>-0.14349999999999999</v>
      </c>
      <c r="M298" s="1">
        <v>296.43</v>
      </c>
      <c r="N298" s="1">
        <v>-0.18</v>
      </c>
      <c r="V298" s="1">
        <v>296.30900000000003</v>
      </c>
      <c r="W298" s="1">
        <v>-1.7135</v>
      </c>
      <c r="AL298" s="1">
        <v>297.09199999999998</v>
      </c>
      <c r="AM298" s="1">
        <v>-4.0434999999999999</v>
      </c>
    </row>
    <row r="299" spans="1:39" x14ac:dyDescent="0.2">
      <c r="A299" s="1">
        <v>297.44</v>
      </c>
      <c r="B299" s="1">
        <v>3.3715000000000002</v>
      </c>
      <c r="D299" s="1">
        <v>297.34699999999998</v>
      </c>
      <c r="E299" s="1">
        <v>-3.6865000000000001</v>
      </c>
      <c r="G299" s="1">
        <v>297.38900000000001</v>
      </c>
      <c r="H299" s="1">
        <v>-4.298</v>
      </c>
      <c r="J299" s="1">
        <v>297.33600000000001</v>
      </c>
      <c r="K299" s="1">
        <v>-0.14949999999999999</v>
      </c>
      <c r="M299" s="1">
        <v>297.43799999999999</v>
      </c>
      <c r="N299" s="1">
        <v>-0.16950000000000001</v>
      </c>
      <c r="V299" s="1">
        <v>297.31400000000002</v>
      </c>
      <c r="W299" s="1">
        <v>-1.7135</v>
      </c>
      <c r="AL299" s="1">
        <v>298.09800000000001</v>
      </c>
      <c r="AM299" s="1">
        <v>-4.0469999999999997</v>
      </c>
    </row>
    <row r="300" spans="1:39" x14ac:dyDescent="0.2">
      <c r="A300" s="1">
        <v>298.447</v>
      </c>
      <c r="B300" s="1">
        <v>3.32</v>
      </c>
      <c r="D300" s="1">
        <v>298.35599999999999</v>
      </c>
      <c r="E300" s="1">
        <v>-3.7589999999999999</v>
      </c>
      <c r="G300" s="1">
        <v>298.39400000000001</v>
      </c>
      <c r="H300" s="1">
        <v>-4.3570000000000002</v>
      </c>
      <c r="J300" s="1">
        <v>298.33999999999997</v>
      </c>
      <c r="K300" s="1">
        <v>-0.16450000000000001</v>
      </c>
      <c r="M300" s="1">
        <v>298.44299999999998</v>
      </c>
      <c r="N300" s="1">
        <v>-0.16300000000000001</v>
      </c>
      <c r="V300" s="1">
        <v>298.31799999999998</v>
      </c>
      <c r="W300" s="1">
        <v>-1.7155</v>
      </c>
      <c r="AL300" s="1">
        <v>299.10599999999999</v>
      </c>
      <c r="AM300" s="1">
        <v>-4.0460000000000003</v>
      </c>
    </row>
    <row r="301" spans="1:39" x14ac:dyDescent="0.2">
      <c r="A301" s="1">
        <v>299.452</v>
      </c>
      <c r="B301" s="1">
        <v>3.258</v>
      </c>
      <c r="D301" s="1">
        <v>299.363</v>
      </c>
      <c r="E301" s="1">
        <v>-3.8275000000000001</v>
      </c>
      <c r="G301" s="1">
        <v>299.39999999999998</v>
      </c>
      <c r="H301" s="1">
        <v>-4.4204999999999997</v>
      </c>
      <c r="J301" s="1">
        <v>299.34800000000001</v>
      </c>
      <c r="K301" s="1">
        <v>-0.16800000000000001</v>
      </c>
      <c r="M301" s="1">
        <v>299.44799999999998</v>
      </c>
      <c r="N301" s="1">
        <v>-0.16450000000000001</v>
      </c>
      <c r="V301" s="1">
        <v>299.32400000000001</v>
      </c>
      <c r="W301" s="1">
        <v>-1.7284999999999999</v>
      </c>
      <c r="AL301" s="1">
        <v>300.11200000000002</v>
      </c>
      <c r="AM301" s="1">
        <v>-4.0425000000000004</v>
      </c>
    </row>
    <row r="302" spans="1:39" x14ac:dyDescent="0.2">
      <c r="A302" s="1">
        <v>300.45699999999999</v>
      </c>
      <c r="B302" s="1">
        <v>3.2105000000000001</v>
      </c>
      <c r="D302" s="1">
        <v>300.37099999999998</v>
      </c>
      <c r="E302" s="1">
        <v>-3.9009999999999998</v>
      </c>
      <c r="G302" s="1">
        <v>300.40699999999998</v>
      </c>
      <c r="H302" s="1">
        <v>-4.4844999999999997</v>
      </c>
      <c r="J302" s="1">
        <v>300.35500000000002</v>
      </c>
      <c r="K302" s="1">
        <v>-0.189</v>
      </c>
      <c r="M302" s="1">
        <v>300.45499999999998</v>
      </c>
      <c r="N302" s="1">
        <v>-0.155</v>
      </c>
      <c r="V302" s="1">
        <v>300.33</v>
      </c>
      <c r="W302" s="1">
        <v>-1.726</v>
      </c>
      <c r="AL302" s="1">
        <v>301.11700000000002</v>
      </c>
      <c r="AM302" s="1">
        <v>-4.0465</v>
      </c>
    </row>
    <row r="303" spans="1:39" x14ac:dyDescent="0.2">
      <c r="A303" s="1">
        <v>301.46499999999997</v>
      </c>
      <c r="B303" s="1">
        <v>3.1560000000000001</v>
      </c>
      <c r="D303" s="1">
        <v>301.37900000000002</v>
      </c>
      <c r="E303" s="1">
        <v>-3.9754999999999998</v>
      </c>
      <c r="G303" s="1">
        <v>301.41399999999999</v>
      </c>
      <c r="H303" s="1">
        <v>-4.5510000000000002</v>
      </c>
      <c r="J303" s="1">
        <v>301.36099999999999</v>
      </c>
      <c r="K303" s="1">
        <v>-0.20200000000000001</v>
      </c>
      <c r="M303" s="1">
        <v>301.46300000000002</v>
      </c>
      <c r="N303" s="1">
        <v>-0.155</v>
      </c>
      <c r="V303" s="1">
        <v>301.33600000000001</v>
      </c>
      <c r="W303" s="1">
        <v>-1.7255</v>
      </c>
      <c r="AL303" s="1">
        <v>302.12400000000002</v>
      </c>
      <c r="AM303" s="1">
        <v>-4.0315000000000003</v>
      </c>
    </row>
    <row r="304" spans="1:39" x14ac:dyDescent="0.2">
      <c r="A304" s="1">
        <v>302.47399999999999</v>
      </c>
      <c r="B304" s="1">
        <v>3.0964999999999998</v>
      </c>
      <c r="D304" s="1">
        <v>302.38499999999999</v>
      </c>
      <c r="E304" s="1">
        <v>-4.0534999999999997</v>
      </c>
      <c r="G304" s="1">
        <v>302.42</v>
      </c>
      <c r="H304" s="1">
        <v>-4.6289999999999996</v>
      </c>
      <c r="J304" s="1">
        <v>302.36500000000001</v>
      </c>
      <c r="K304" s="1">
        <v>-0.21099999999999999</v>
      </c>
      <c r="M304" s="1">
        <v>302.47000000000003</v>
      </c>
      <c r="N304" s="1">
        <v>-0.1525</v>
      </c>
      <c r="AL304" s="1">
        <v>303.15199999999999</v>
      </c>
      <c r="AM304" s="1">
        <v>-4.03</v>
      </c>
    </row>
    <row r="305" spans="1:39" x14ac:dyDescent="0.2">
      <c r="A305" s="1">
        <v>303.48</v>
      </c>
      <c r="B305" s="1">
        <v>3.0514999999999999</v>
      </c>
      <c r="D305" s="1">
        <v>303.39299999999997</v>
      </c>
      <c r="E305" s="1">
        <v>-4.1289999999999996</v>
      </c>
      <c r="G305" s="1">
        <v>303.42500000000001</v>
      </c>
      <c r="H305" s="1">
        <v>-4.6929999999999996</v>
      </c>
      <c r="J305" s="1">
        <v>303.37099999999998</v>
      </c>
      <c r="K305" s="1">
        <v>-0.222</v>
      </c>
      <c r="M305" s="1">
        <v>303.47399999999999</v>
      </c>
      <c r="N305" s="1">
        <v>-0.1515</v>
      </c>
      <c r="AL305" s="1">
        <v>304.15699999999998</v>
      </c>
      <c r="AM305" s="1">
        <v>-4.0279999999999996</v>
      </c>
    </row>
    <row r="306" spans="1:39" x14ac:dyDescent="0.2">
      <c r="A306" s="1">
        <v>304.48700000000002</v>
      </c>
      <c r="B306" s="1">
        <v>2.9940000000000002</v>
      </c>
      <c r="D306" s="1">
        <v>304.39800000000002</v>
      </c>
      <c r="E306" s="1">
        <v>-4.1985000000000001</v>
      </c>
      <c r="G306" s="1">
        <v>304.43099999999998</v>
      </c>
      <c r="H306" s="1">
        <v>-4.7619999999999996</v>
      </c>
      <c r="J306" s="1">
        <v>304.37799999999999</v>
      </c>
      <c r="K306" s="1">
        <v>-0.22750000000000001</v>
      </c>
      <c r="M306" s="1">
        <v>304.48099999999999</v>
      </c>
      <c r="N306" s="1">
        <v>-0.13900000000000001</v>
      </c>
      <c r="AL306" s="1">
        <v>305.17599999999999</v>
      </c>
      <c r="AM306" s="1">
        <v>-4.0209999999999999</v>
      </c>
    </row>
    <row r="307" spans="1:39" x14ac:dyDescent="0.2">
      <c r="A307" s="1">
        <v>305.49099999999999</v>
      </c>
      <c r="B307" s="1">
        <v>2.9375</v>
      </c>
      <c r="D307" s="1">
        <v>305.40600000000001</v>
      </c>
      <c r="E307" s="1">
        <v>-4.2690000000000001</v>
      </c>
      <c r="G307" s="1">
        <v>305.44</v>
      </c>
      <c r="H307" s="1">
        <v>-4.8304999999999998</v>
      </c>
      <c r="J307" s="1">
        <v>305.38499999999999</v>
      </c>
      <c r="K307" s="1">
        <v>-0.22800000000000001</v>
      </c>
      <c r="M307" s="1">
        <v>305.488</v>
      </c>
      <c r="N307" s="1">
        <v>-0.13800000000000001</v>
      </c>
      <c r="AL307" s="1">
        <v>306.18</v>
      </c>
      <c r="AM307" s="1">
        <v>-4.024</v>
      </c>
    </row>
    <row r="308" spans="1:39" x14ac:dyDescent="0.2">
      <c r="A308" s="1">
        <v>306.49599999999998</v>
      </c>
      <c r="B308" s="1">
        <v>2.8759999999999999</v>
      </c>
      <c r="D308" s="1">
        <v>306.41199999999998</v>
      </c>
      <c r="E308" s="1">
        <v>-4.3419999999999996</v>
      </c>
      <c r="G308" s="1">
        <v>306.44799999999998</v>
      </c>
      <c r="H308" s="1">
        <v>-4.8970000000000002</v>
      </c>
      <c r="J308" s="1">
        <v>306.39100000000002</v>
      </c>
      <c r="K308" s="1">
        <v>-0.22850000000000001</v>
      </c>
      <c r="M308" s="1">
        <v>306.49400000000003</v>
      </c>
      <c r="N308" s="1">
        <v>-0.13850000000000001</v>
      </c>
      <c r="AL308" s="1">
        <v>307.18299999999999</v>
      </c>
      <c r="AM308" s="1">
        <v>-4.0270000000000001</v>
      </c>
    </row>
    <row r="309" spans="1:39" x14ac:dyDescent="0.2">
      <c r="A309" s="1">
        <v>307.50099999999998</v>
      </c>
      <c r="B309" s="1">
        <v>2.8184999999999998</v>
      </c>
      <c r="D309" s="1">
        <v>307.41800000000001</v>
      </c>
      <c r="E309" s="1">
        <v>-4.4180000000000001</v>
      </c>
      <c r="G309" s="1">
        <v>307.45400000000001</v>
      </c>
      <c r="H309" s="1">
        <v>-4.9634999999999998</v>
      </c>
      <c r="J309" s="1">
        <v>307.39600000000002</v>
      </c>
      <c r="K309" s="1">
        <v>-0.22850000000000001</v>
      </c>
      <c r="M309" s="1">
        <v>307.50299999999999</v>
      </c>
      <c r="N309" s="1">
        <v>-0.1295</v>
      </c>
      <c r="AL309" s="1">
        <v>308.18599999999998</v>
      </c>
      <c r="AM309" s="1">
        <v>-4.0185000000000004</v>
      </c>
    </row>
    <row r="310" spans="1:39" x14ac:dyDescent="0.2">
      <c r="A310" s="1">
        <v>308.50299999999999</v>
      </c>
      <c r="B310" s="1">
        <v>2.758</v>
      </c>
      <c r="D310" s="1">
        <v>308.42200000000003</v>
      </c>
      <c r="E310" s="1">
        <v>-4.5004999999999997</v>
      </c>
      <c r="G310" s="1">
        <v>308.459</v>
      </c>
      <c r="H310" s="1">
        <v>-5.0350000000000001</v>
      </c>
      <c r="J310" s="1">
        <v>308.40100000000001</v>
      </c>
      <c r="K310" s="1">
        <v>-0.23849999999999999</v>
      </c>
      <c r="M310" s="1">
        <v>308.50900000000001</v>
      </c>
      <c r="N310" s="1">
        <v>-0.124</v>
      </c>
      <c r="AL310" s="1">
        <v>309.19099999999997</v>
      </c>
      <c r="AM310" s="1">
        <v>-4.0129999999999999</v>
      </c>
    </row>
    <row r="311" spans="1:39" x14ac:dyDescent="0.2">
      <c r="A311" s="1">
        <v>309.56400000000002</v>
      </c>
      <c r="B311" s="1">
        <v>2.702</v>
      </c>
      <c r="D311" s="1">
        <v>309.42700000000002</v>
      </c>
      <c r="E311" s="1">
        <v>-4.5774999999999997</v>
      </c>
      <c r="G311" s="1">
        <v>309.464</v>
      </c>
      <c r="H311" s="1">
        <v>-5.1064999999999996</v>
      </c>
      <c r="J311" s="1">
        <v>309.40499999999997</v>
      </c>
      <c r="K311" s="1">
        <v>-0.24149999999999999</v>
      </c>
      <c r="M311" s="1">
        <v>309.51600000000002</v>
      </c>
      <c r="N311" s="1">
        <v>-0.1245</v>
      </c>
      <c r="AL311" s="1">
        <v>310.19499999999999</v>
      </c>
      <c r="AM311" s="1">
        <v>-4.0220000000000002</v>
      </c>
    </row>
    <row r="312" spans="1:39" x14ac:dyDescent="0.2">
      <c r="A312" s="1">
        <v>310.57</v>
      </c>
      <c r="B312" s="1">
        <v>2.641</v>
      </c>
      <c r="D312" s="1">
        <v>310.43400000000003</v>
      </c>
      <c r="E312" s="1">
        <v>-4.6459999999999999</v>
      </c>
      <c r="G312" s="1">
        <v>310.46899999999999</v>
      </c>
      <c r="H312" s="1">
        <v>-5.1769999999999996</v>
      </c>
      <c r="J312" s="1">
        <v>310.411</v>
      </c>
      <c r="K312" s="1">
        <v>-0.23849999999999999</v>
      </c>
      <c r="M312" s="1">
        <v>310.52300000000002</v>
      </c>
      <c r="N312" s="1">
        <v>-0.13</v>
      </c>
      <c r="AL312" s="1">
        <v>311.2</v>
      </c>
      <c r="AM312" s="1">
        <v>-4.0225</v>
      </c>
    </row>
    <row r="313" spans="1:39" x14ac:dyDescent="0.2">
      <c r="A313" s="1">
        <v>311.57600000000002</v>
      </c>
      <c r="B313" s="1">
        <v>2.581</v>
      </c>
      <c r="D313" s="1">
        <v>311.44200000000001</v>
      </c>
      <c r="E313" s="1">
        <v>-4.7249999999999996</v>
      </c>
      <c r="G313" s="1">
        <v>311.476</v>
      </c>
      <c r="H313" s="1">
        <v>-5.2469999999999999</v>
      </c>
      <c r="J313" s="1">
        <v>311.416</v>
      </c>
      <c r="K313" s="1">
        <v>-0.23499999999999999</v>
      </c>
      <c r="M313" s="1">
        <v>311.52699999999999</v>
      </c>
      <c r="N313" s="1">
        <v>-0.13150000000000001</v>
      </c>
      <c r="AL313" s="1">
        <v>312.20400000000001</v>
      </c>
      <c r="AM313" s="1">
        <v>-4.0255000000000001</v>
      </c>
    </row>
    <row r="314" spans="1:39" x14ac:dyDescent="0.2">
      <c r="A314" s="1">
        <v>312.58300000000003</v>
      </c>
      <c r="B314" s="1">
        <v>2.5259999999999998</v>
      </c>
      <c r="D314" s="1">
        <v>312.44600000000003</v>
      </c>
      <c r="E314" s="1">
        <v>-4.8025000000000002</v>
      </c>
      <c r="G314" s="1">
        <v>312.483</v>
      </c>
      <c r="H314" s="1">
        <v>-4.9930000000000003</v>
      </c>
      <c r="J314" s="1">
        <v>312.42399999999998</v>
      </c>
      <c r="K314" s="1">
        <v>-0.23400000000000001</v>
      </c>
      <c r="M314" s="1">
        <v>312.53300000000002</v>
      </c>
      <c r="N314" s="1">
        <v>-0.13150000000000001</v>
      </c>
      <c r="AL314" s="1">
        <v>313.209</v>
      </c>
      <c r="AM314" s="1">
        <v>-4.0229999999999997</v>
      </c>
    </row>
    <row r="315" spans="1:39" x14ac:dyDescent="0.2">
      <c r="A315" s="1">
        <v>313.58699999999999</v>
      </c>
      <c r="B315" s="1">
        <v>2.4685000000000001</v>
      </c>
      <c r="D315" s="1">
        <v>313.45100000000002</v>
      </c>
      <c r="E315" s="1">
        <v>-4.8775000000000004</v>
      </c>
      <c r="G315" s="1">
        <v>313.49</v>
      </c>
      <c r="H315" s="1">
        <v>-3.3889999999999998</v>
      </c>
      <c r="J315" s="1">
        <v>313.43</v>
      </c>
      <c r="K315" s="1">
        <v>-0.23649999999999999</v>
      </c>
      <c r="M315" s="1">
        <v>313.53800000000001</v>
      </c>
      <c r="N315" s="1">
        <v>-0.14149999999999999</v>
      </c>
      <c r="AL315" s="1">
        <v>314.21300000000002</v>
      </c>
      <c r="AM315" s="1">
        <v>-4.0255000000000001</v>
      </c>
    </row>
    <row r="316" spans="1:39" x14ac:dyDescent="0.2">
      <c r="A316" s="1">
        <v>314.59199999999998</v>
      </c>
      <c r="B316" s="1">
        <v>2.4129999999999998</v>
      </c>
      <c r="D316" s="1">
        <v>314.46199999999999</v>
      </c>
      <c r="E316" s="1">
        <v>-4.9480000000000004</v>
      </c>
      <c r="G316" s="1">
        <v>314.495</v>
      </c>
      <c r="H316" s="1">
        <v>-2.0945</v>
      </c>
      <c r="J316" s="1">
        <v>314.43400000000003</v>
      </c>
      <c r="K316" s="1">
        <v>-0.23649999999999999</v>
      </c>
      <c r="M316" s="1">
        <v>314.54300000000001</v>
      </c>
      <c r="N316" s="1">
        <v>-0.14099999999999999</v>
      </c>
      <c r="AL316" s="1">
        <v>315.21600000000001</v>
      </c>
      <c r="AM316" s="1">
        <v>-4.0229999999999997</v>
      </c>
    </row>
    <row r="317" spans="1:39" x14ac:dyDescent="0.2">
      <c r="A317" s="1">
        <v>315.596</v>
      </c>
      <c r="B317" s="1">
        <v>2.3475000000000001</v>
      </c>
      <c r="D317" s="1">
        <v>315.47000000000003</v>
      </c>
      <c r="E317" s="1">
        <v>-5.0170000000000003</v>
      </c>
      <c r="G317" s="1">
        <v>315.5</v>
      </c>
      <c r="H317" s="1">
        <v>-1.2925</v>
      </c>
      <c r="J317" s="1">
        <v>315.43900000000002</v>
      </c>
      <c r="K317" s="1">
        <v>-0.23449999999999999</v>
      </c>
      <c r="AL317" s="1">
        <v>316.221</v>
      </c>
      <c r="AM317" s="1">
        <v>-4.0374999999999996</v>
      </c>
    </row>
    <row r="318" spans="1:39" x14ac:dyDescent="0.2">
      <c r="A318" s="1">
        <v>316.59699999999998</v>
      </c>
      <c r="B318" s="1">
        <v>2.2810000000000001</v>
      </c>
      <c r="D318" s="1">
        <v>316.47399999999999</v>
      </c>
      <c r="E318" s="1">
        <v>-5.0810000000000004</v>
      </c>
      <c r="G318" s="1">
        <v>316.505</v>
      </c>
      <c r="H318" s="1">
        <v>-0.79949999999999999</v>
      </c>
      <c r="J318" s="1">
        <v>316.44499999999999</v>
      </c>
      <c r="K318" s="1">
        <v>-0.23849999999999999</v>
      </c>
      <c r="AL318" s="1">
        <v>317.22699999999998</v>
      </c>
      <c r="AM318" s="1">
        <v>-4.0439999999999996</v>
      </c>
    </row>
    <row r="319" spans="1:39" x14ac:dyDescent="0.2">
      <c r="A319" s="1">
        <v>317.601</v>
      </c>
      <c r="B319" s="1">
        <v>2.2305000000000001</v>
      </c>
      <c r="D319" s="1">
        <v>317.47800000000001</v>
      </c>
      <c r="E319" s="1">
        <v>-5.1704999999999997</v>
      </c>
      <c r="G319" s="1">
        <v>317.51</v>
      </c>
      <c r="H319" s="1">
        <v>-0.5</v>
      </c>
      <c r="J319" s="1">
        <v>317.44799999999998</v>
      </c>
      <c r="K319" s="1">
        <v>-0.23400000000000001</v>
      </c>
      <c r="AL319" s="1">
        <v>318.23099999999999</v>
      </c>
      <c r="AM319" s="1">
        <v>-4.048</v>
      </c>
    </row>
    <row r="320" spans="1:39" x14ac:dyDescent="0.2">
      <c r="A320" s="1">
        <v>318.61099999999999</v>
      </c>
      <c r="B320" s="1">
        <v>2.1675</v>
      </c>
      <c r="D320" s="1">
        <v>318.48399999999998</v>
      </c>
      <c r="E320" s="1">
        <v>-5.25</v>
      </c>
      <c r="G320" s="1">
        <v>318.51499999999999</v>
      </c>
      <c r="H320" s="1">
        <v>-0.30649999999999999</v>
      </c>
      <c r="J320" s="1">
        <v>318.452</v>
      </c>
      <c r="K320" s="1">
        <v>-0.23799999999999999</v>
      </c>
      <c r="AL320" s="1">
        <v>319.23700000000002</v>
      </c>
      <c r="AM320" s="1">
        <v>-4.05</v>
      </c>
    </row>
    <row r="321" spans="1:39" x14ac:dyDescent="0.2">
      <c r="A321" s="1">
        <v>319.62</v>
      </c>
      <c r="B321" s="1">
        <v>2.1185</v>
      </c>
      <c r="D321" s="1">
        <v>319.48899999999998</v>
      </c>
      <c r="E321" s="1">
        <v>-5.3174999999999999</v>
      </c>
      <c r="G321" s="1">
        <v>319.52199999999999</v>
      </c>
      <c r="H321" s="1">
        <v>-0.187</v>
      </c>
      <c r="J321" s="1">
        <v>319.45499999999998</v>
      </c>
      <c r="K321" s="1">
        <v>-0.23799999999999999</v>
      </c>
      <c r="AL321" s="1">
        <v>320.245</v>
      </c>
      <c r="AM321" s="1">
        <v>-4.0439999999999996</v>
      </c>
    </row>
    <row r="322" spans="1:39" x14ac:dyDescent="0.2">
      <c r="A322" s="1">
        <v>320.62599999999998</v>
      </c>
      <c r="B322" s="1">
        <v>2.0545</v>
      </c>
      <c r="D322" s="1">
        <v>320.49599999999998</v>
      </c>
      <c r="E322" s="1">
        <v>-5.3860000000000001</v>
      </c>
      <c r="G322" s="1">
        <v>320.52699999999999</v>
      </c>
      <c r="H322" s="1">
        <v>-0.10299999999999999</v>
      </c>
      <c r="J322" s="1">
        <v>320.46100000000001</v>
      </c>
      <c r="K322" s="1">
        <v>-0.24349999999999999</v>
      </c>
      <c r="AL322" s="1">
        <v>321.25299999999999</v>
      </c>
      <c r="AM322" s="1">
        <v>-4.0439999999999996</v>
      </c>
    </row>
    <row r="323" spans="1:39" x14ac:dyDescent="0.2">
      <c r="A323" s="1">
        <v>321.63499999999999</v>
      </c>
      <c r="B323" s="1">
        <v>1.9995000000000001</v>
      </c>
      <c r="D323" s="1">
        <v>321.50200000000001</v>
      </c>
      <c r="E323" s="1">
        <v>-5.4630000000000001</v>
      </c>
      <c r="G323" s="1">
        <v>321.53500000000003</v>
      </c>
      <c r="H323" s="1">
        <v>-4.0500000000000001E-2</v>
      </c>
      <c r="J323" s="1">
        <v>321.46800000000002</v>
      </c>
      <c r="K323" s="1">
        <v>-0.23749999999999999</v>
      </c>
      <c r="AL323" s="1">
        <v>322.25700000000001</v>
      </c>
      <c r="AM323" s="1">
        <v>-4.0454999999999997</v>
      </c>
    </row>
    <row r="324" spans="1:39" x14ac:dyDescent="0.2">
      <c r="A324" s="1">
        <v>322.64</v>
      </c>
      <c r="B324" s="1">
        <v>1.9365000000000001</v>
      </c>
      <c r="D324" s="1">
        <v>322.51</v>
      </c>
      <c r="E324" s="1">
        <v>-5.5404999999999998</v>
      </c>
      <c r="G324" s="1">
        <v>322.54000000000002</v>
      </c>
      <c r="H324" s="1">
        <v>-9.4999999999999998E-3</v>
      </c>
      <c r="J324" s="1">
        <v>322.476</v>
      </c>
      <c r="K324" s="1">
        <v>-0.24099999999999999</v>
      </c>
      <c r="AL324" s="1">
        <v>323.26</v>
      </c>
      <c r="AM324" s="1">
        <v>-4.0490000000000004</v>
      </c>
    </row>
    <row r="325" spans="1:39" x14ac:dyDescent="0.2">
      <c r="A325" s="1">
        <v>323.64600000000002</v>
      </c>
      <c r="B325" s="1">
        <v>1.8819999999999999</v>
      </c>
      <c r="D325" s="1">
        <v>323.51900000000001</v>
      </c>
      <c r="E325" s="1">
        <v>-5.6165000000000003</v>
      </c>
      <c r="G325" s="1">
        <v>323.54500000000002</v>
      </c>
      <c r="H325" s="1">
        <v>1.4E-2</v>
      </c>
      <c r="J325" s="1">
        <v>323.48099999999999</v>
      </c>
      <c r="K325" s="1">
        <v>-0.249</v>
      </c>
      <c r="AL325" s="1">
        <v>324.26499999999999</v>
      </c>
      <c r="AM325" s="1">
        <v>-4.0529999999999999</v>
      </c>
    </row>
    <row r="326" spans="1:39" x14ac:dyDescent="0.2">
      <c r="A326" s="1">
        <v>324.64999999999998</v>
      </c>
      <c r="B326" s="1">
        <v>1.8260000000000001</v>
      </c>
      <c r="D326" s="1">
        <v>324.52600000000001</v>
      </c>
      <c r="E326" s="1">
        <v>-5.6935000000000002</v>
      </c>
      <c r="G326" s="1">
        <v>324.54899999999998</v>
      </c>
      <c r="H326" s="1">
        <v>3.6499999999999998E-2</v>
      </c>
      <c r="J326" s="1">
        <v>324.48700000000002</v>
      </c>
      <c r="K326" s="1">
        <v>-0.2465</v>
      </c>
      <c r="AL326" s="1">
        <v>325.27</v>
      </c>
      <c r="AM326" s="1">
        <v>-4.0545</v>
      </c>
    </row>
    <row r="327" spans="1:39" x14ac:dyDescent="0.2">
      <c r="A327" s="1">
        <v>325.65699999999998</v>
      </c>
      <c r="B327" s="1">
        <v>1.7655000000000001</v>
      </c>
      <c r="D327" s="1">
        <v>325.53300000000002</v>
      </c>
      <c r="E327" s="1">
        <v>-5.7649999999999997</v>
      </c>
      <c r="G327" s="1">
        <v>325.55399999999997</v>
      </c>
      <c r="H327" s="1">
        <v>5.5E-2</v>
      </c>
      <c r="J327" s="1">
        <v>325.49200000000002</v>
      </c>
      <c r="K327" s="1">
        <v>-0.25750000000000001</v>
      </c>
      <c r="AL327" s="1">
        <v>326.27499999999998</v>
      </c>
      <c r="AM327" s="1">
        <v>-4.0575000000000001</v>
      </c>
    </row>
    <row r="328" spans="1:39" x14ac:dyDescent="0.2">
      <c r="A328" s="1">
        <v>326.66300000000001</v>
      </c>
      <c r="B328" s="1">
        <v>1.7044999999999999</v>
      </c>
      <c r="D328" s="1">
        <v>326.54000000000002</v>
      </c>
      <c r="E328" s="1">
        <v>-5.8414999999999999</v>
      </c>
      <c r="G328" s="1">
        <v>326.55900000000003</v>
      </c>
      <c r="H328" s="1">
        <v>6.4500000000000002E-2</v>
      </c>
      <c r="J328" s="1">
        <v>326.49900000000002</v>
      </c>
      <c r="K328" s="1">
        <v>-0.26</v>
      </c>
      <c r="AL328" s="1">
        <v>327.279</v>
      </c>
      <c r="AM328" s="1">
        <v>-4.0614999999999997</v>
      </c>
    </row>
    <row r="329" spans="1:39" x14ac:dyDescent="0.2">
      <c r="A329" s="1">
        <v>327.67</v>
      </c>
      <c r="B329" s="1">
        <v>1.6379999999999999</v>
      </c>
      <c r="D329" s="1">
        <v>327.548</v>
      </c>
      <c r="E329" s="1">
        <v>-5.9124999999999996</v>
      </c>
      <c r="G329" s="1">
        <v>327.56299999999999</v>
      </c>
      <c r="H329" s="1">
        <v>8.4000000000000005E-2</v>
      </c>
      <c r="J329" s="1">
        <v>327.50700000000001</v>
      </c>
      <c r="K329" s="1">
        <v>-0.255</v>
      </c>
      <c r="AL329" s="1">
        <v>328.28500000000003</v>
      </c>
      <c r="AM329" s="1">
        <v>-4.0629999999999997</v>
      </c>
    </row>
    <row r="330" spans="1:39" x14ac:dyDescent="0.2">
      <c r="A330" s="1">
        <v>328.67700000000002</v>
      </c>
      <c r="B330" s="1">
        <v>1.583</v>
      </c>
      <c r="D330" s="1">
        <v>328.55200000000002</v>
      </c>
      <c r="E330" s="1">
        <v>-5.9909999999999997</v>
      </c>
      <c r="G330" s="1">
        <v>328.56900000000002</v>
      </c>
      <c r="H330" s="1">
        <v>9.1999999999999998E-2</v>
      </c>
      <c r="J330" s="1">
        <v>328.51499999999999</v>
      </c>
      <c r="K330" s="1">
        <v>-0.2455</v>
      </c>
      <c r="AL330" s="1">
        <v>329.28800000000001</v>
      </c>
      <c r="AM330" s="1">
        <v>-4.0620000000000003</v>
      </c>
    </row>
    <row r="331" spans="1:39" x14ac:dyDescent="0.2">
      <c r="A331" s="1">
        <v>329.68099999999998</v>
      </c>
      <c r="B331" s="1">
        <v>1.512</v>
      </c>
      <c r="D331" s="1">
        <v>329.55599999999998</v>
      </c>
      <c r="E331" s="1">
        <v>-6.0525000000000002</v>
      </c>
      <c r="G331" s="1">
        <v>329.57600000000002</v>
      </c>
      <c r="H331" s="1">
        <v>0.1045</v>
      </c>
      <c r="J331" s="1">
        <v>329.52100000000002</v>
      </c>
      <c r="K331" s="1">
        <v>-0.23799999999999999</v>
      </c>
      <c r="AL331" s="1">
        <v>330.29399999999998</v>
      </c>
      <c r="AM331" s="1">
        <v>-4.0750000000000002</v>
      </c>
    </row>
    <row r="332" spans="1:39" x14ac:dyDescent="0.2">
      <c r="A332" s="1">
        <v>330.68599999999998</v>
      </c>
      <c r="B332" s="1">
        <v>1.4550000000000001</v>
      </c>
      <c r="D332" s="1">
        <v>330.56299999999999</v>
      </c>
      <c r="E332" s="1">
        <v>-6.1289999999999996</v>
      </c>
      <c r="G332" s="1">
        <v>330.58199999999999</v>
      </c>
      <c r="H332" s="1">
        <v>0.11600000000000001</v>
      </c>
      <c r="J332" s="1">
        <v>330.52600000000001</v>
      </c>
      <c r="K332" s="1">
        <v>-0.23350000000000001</v>
      </c>
      <c r="AL332" s="1">
        <v>332.87900000000002</v>
      </c>
      <c r="AM332" s="1">
        <v>-4.0839999999999996</v>
      </c>
    </row>
    <row r="333" spans="1:39" x14ac:dyDescent="0.2">
      <c r="A333" s="1">
        <v>331.68900000000002</v>
      </c>
      <c r="B333" s="1">
        <v>1.3875</v>
      </c>
      <c r="D333" s="1">
        <v>331.57</v>
      </c>
      <c r="E333" s="1">
        <v>-6.2069999999999999</v>
      </c>
      <c r="G333" s="1">
        <v>331.58800000000002</v>
      </c>
      <c r="H333" s="1">
        <v>0.1245</v>
      </c>
      <c r="J333" s="1">
        <v>331.53199999999998</v>
      </c>
      <c r="K333" s="1">
        <v>-0.23599999999999999</v>
      </c>
      <c r="AL333" s="1">
        <v>333.88600000000002</v>
      </c>
      <c r="AM333" s="1">
        <v>-4.0819999999999999</v>
      </c>
    </row>
    <row r="334" spans="1:39" x14ac:dyDescent="0.2">
      <c r="A334" s="1">
        <v>332.69600000000003</v>
      </c>
      <c r="B334" s="1">
        <v>1.327</v>
      </c>
      <c r="D334" s="1">
        <v>332.57900000000001</v>
      </c>
      <c r="E334" s="1">
        <v>-6.2750000000000004</v>
      </c>
      <c r="G334" s="1">
        <v>332.59300000000002</v>
      </c>
      <c r="H334" s="1">
        <v>0.13600000000000001</v>
      </c>
      <c r="J334" s="1">
        <v>332.53699999999998</v>
      </c>
      <c r="K334" s="1">
        <v>-0.24049999999999999</v>
      </c>
      <c r="AL334" s="1">
        <v>334.89100000000002</v>
      </c>
      <c r="AM334" s="1">
        <v>-4.0795000000000003</v>
      </c>
    </row>
    <row r="335" spans="1:39" x14ac:dyDescent="0.2">
      <c r="A335" s="1">
        <v>333.70400000000001</v>
      </c>
      <c r="B335" s="1">
        <v>1.2585</v>
      </c>
      <c r="D335" s="1">
        <v>333.584</v>
      </c>
      <c r="E335" s="1">
        <v>-6.3525</v>
      </c>
      <c r="G335" s="1">
        <v>333.6</v>
      </c>
      <c r="H335" s="1">
        <v>0.14050000000000001</v>
      </c>
      <c r="J335" s="1">
        <v>333.54199999999997</v>
      </c>
      <c r="K335" s="1">
        <v>-0.24049999999999999</v>
      </c>
      <c r="AL335" s="1">
        <v>335.89600000000002</v>
      </c>
      <c r="AM335" s="1">
        <v>-4.0780000000000003</v>
      </c>
    </row>
    <row r="336" spans="1:39" x14ac:dyDescent="0.2">
      <c r="A336" s="1">
        <v>334.714</v>
      </c>
      <c r="B336" s="1">
        <v>1.204</v>
      </c>
      <c r="D336" s="1">
        <v>334.589</v>
      </c>
      <c r="E336" s="1">
        <v>-6.4234999999999998</v>
      </c>
      <c r="G336" s="1">
        <v>334.60500000000002</v>
      </c>
      <c r="H336" s="1">
        <v>0.14899999999999999</v>
      </c>
      <c r="J336" s="1">
        <v>334.54899999999998</v>
      </c>
      <c r="K336" s="1">
        <v>-0.24399999999999999</v>
      </c>
      <c r="AL336" s="1">
        <v>336.904</v>
      </c>
      <c r="AM336" s="1">
        <v>-4.0754999999999999</v>
      </c>
    </row>
    <row r="337" spans="1:39" x14ac:dyDescent="0.2">
      <c r="A337" s="1">
        <v>335.721</v>
      </c>
      <c r="B337" s="1">
        <v>1.1405000000000001</v>
      </c>
      <c r="D337" s="1">
        <v>335.59399999999999</v>
      </c>
      <c r="E337" s="1">
        <v>-6.4989999999999997</v>
      </c>
      <c r="G337" s="1">
        <v>335.61</v>
      </c>
      <c r="H337" s="1">
        <v>0.161</v>
      </c>
      <c r="J337" s="1">
        <v>335.55599999999998</v>
      </c>
      <c r="K337" s="1">
        <v>-0.24349999999999999</v>
      </c>
      <c r="AL337" s="1">
        <v>337.90899999999999</v>
      </c>
      <c r="AM337" s="1">
        <v>-4.0774999999999997</v>
      </c>
    </row>
    <row r="338" spans="1:39" x14ac:dyDescent="0.2">
      <c r="A338" s="1">
        <v>336.726</v>
      </c>
      <c r="B338" s="1">
        <v>1.0714999999999999</v>
      </c>
      <c r="D338" s="1">
        <v>336.59899999999999</v>
      </c>
      <c r="E338" s="1">
        <v>-6.5670000000000002</v>
      </c>
      <c r="G338" s="1">
        <v>336.61500000000001</v>
      </c>
      <c r="H338" s="1">
        <v>0.16400000000000001</v>
      </c>
      <c r="J338" s="1">
        <v>336.565</v>
      </c>
      <c r="K338" s="1">
        <v>-0.24049999999999999</v>
      </c>
      <c r="AL338" s="1">
        <v>338.91300000000001</v>
      </c>
      <c r="AM338" s="1">
        <v>-4.0730000000000004</v>
      </c>
    </row>
    <row r="339" spans="1:39" x14ac:dyDescent="0.2">
      <c r="A339" s="1">
        <v>337.73099999999999</v>
      </c>
      <c r="B339" s="1">
        <v>1.008</v>
      </c>
      <c r="D339" s="1">
        <v>337.60500000000002</v>
      </c>
      <c r="E339" s="1">
        <v>-6.6425000000000001</v>
      </c>
      <c r="G339" s="1">
        <v>337.62</v>
      </c>
      <c r="H339" s="1">
        <v>0.17050000000000001</v>
      </c>
      <c r="J339" s="1">
        <v>337.57299999999998</v>
      </c>
      <c r="K339" s="1">
        <v>-0.251</v>
      </c>
      <c r="AL339" s="1">
        <v>339.92</v>
      </c>
      <c r="AM339" s="1">
        <v>-4.08</v>
      </c>
    </row>
    <row r="340" spans="1:39" x14ac:dyDescent="0.2">
      <c r="A340" s="1">
        <v>338.73599999999999</v>
      </c>
      <c r="B340" s="1">
        <v>0.94650000000000001</v>
      </c>
      <c r="D340" s="1">
        <v>338.61099999999999</v>
      </c>
      <c r="E340" s="1">
        <v>-6.7080000000000002</v>
      </c>
      <c r="G340" s="1">
        <v>338.62400000000002</v>
      </c>
      <c r="H340" s="1">
        <v>0.17349999999999999</v>
      </c>
      <c r="J340" s="1">
        <v>338.58</v>
      </c>
      <c r="K340" s="1">
        <v>-0.2555</v>
      </c>
      <c r="AL340" s="1">
        <v>340.92500000000001</v>
      </c>
      <c r="AM340" s="1">
        <v>-4.0765000000000002</v>
      </c>
    </row>
    <row r="341" spans="1:39" x14ac:dyDescent="0.2">
      <c r="A341" s="1">
        <v>339.74</v>
      </c>
      <c r="B341" s="1">
        <v>0.88300000000000001</v>
      </c>
      <c r="D341" s="1">
        <v>339.62</v>
      </c>
      <c r="E341" s="1">
        <v>-6.7835000000000001</v>
      </c>
      <c r="G341" s="1">
        <v>339.63099999999997</v>
      </c>
      <c r="H341" s="1">
        <v>0.1825</v>
      </c>
      <c r="J341" s="1">
        <v>339.58600000000001</v>
      </c>
      <c r="K341" s="1">
        <v>-0.2545</v>
      </c>
      <c r="AL341" s="1">
        <v>341.93</v>
      </c>
      <c r="AM341" s="1">
        <v>-4.0785</v>
      </c>
    </row>
    <row r="342" spans="1:39" x14ac:dyDescent="0.2">
      <c r="A342" s="1">
        <v>340.74599999999998</v>
      </c>
      <c r="B342" s="1">
        <v>0.82199999999999995</v>
      </c>
      <c r="D342" s="1">
        <v>340.62700000000001</v>
      </c>
      <c r="E342" s="1">
        <v>-6.8659999999999997</v>
      </c>
      <c r="G342" s="1">
        <v>340.63499999999999</v>
      </c>
      <c r="H342" s="1">
        <v>0.18149999999999999</v>
      </c>
      <c r="J342" s="1">
        <v>340.59100000000001</v>
      </c>
      <c r="K342" s="1">
        <v>-0.2515</v>
      </c>
      <c r="AL342" s="1">
        <v>342.93299999999999</v>
      </c>
      <c r="AM342" s="1">
        <v>-4.08</v>
      </c>
    </row>
    <row r="343" spans="1:39" x14ac:dyDescent="0.2">
      <c r="A343" s="1">
        <v>341.75099999999998</v>
      </c>
      <c r="B343" s="1">
        <v>0.75949999999999995</v>
      </c>
      <c r="D343" s="1">
        <v>341.63</v>
      </c>
      <c r="E343" s="1">
        <v>-6.9314999999999998</v>
      </c>
      <c r="G343" s="1">
        <v>341.63900000000001</v>
      </c>
      <c r="H343" s="1">
        <v>0.1915</v>
      </c>
      <c r="J343" s="1">
        <v>341.59500000000003</v>
      </c>
      <c r="K343" s="1">
        <v>-0.254</v>
      </c>
      <c r="AL343" s="1">
        <v>343.94099999999997</v>
      </c>
      <c r="AM343" s="1">
        <v>-4.0819999999999999</v>
      </c>
    </row>
    <row r="344" spans="1:39" x14ac:dyDescent="0.2">
      <c r="A344" s="1">
        <v>342.75599999999997</v>
      </c>
      <c r="B344" s="1">
        <v>0.69099999999999995</v>
      </c>
      <c r="D344" s="1">
        <v>342.63600000000002</v>
      </c>
      <c r="E344" s="1">
        <v>-7.0010000000000003</v>
      </c>
      <c r="G344" s="1">
        <v>342.64800000000002</v>
      </c>
      <c r="H344" s="1">
        <v>0.19600000000000001</v>
      </c>
      <c r="J344" s="1">
        <v>342.601</v>
      </c>
      <c r="K344" s="1">
        <v>-0.25700000000000001</v>
      </c>
      <c r="AL344" s="1">
        <v>344.94499999999999</v>
      </c>
      <c r="AM344" s="1">
        <v>-4.08</v>
      </c>
    </row>
    <row r="345" spans="1:39" x14ac:dyDescent="0.2">
      <c r="A345" s="1">
        <v>343.76</v>
      </c>
      <c r="B345" s="1">
        <v>0.63649999999999995</v>
      </c>
      <c r="D345" s="1">
        <v>343.642</v>
      </c>
      <c r="E345" s="1">
        <v>-7.0674999999999999</v>
      </c>
      <c r="G345" s="1">
        <v>343.654</v>
      </c>
      <c r="H345" s="1">
        <v>0.20300000000000001</v>
      </c>
      <c r="J345" s="1">
        <v>343.60599999999999</v>
      </c>
      <c r="K345" s="1">
        <v>-0.2515</v>
      </c>
      <c r="AL345" s="1">
        <v>345.95</v>
      </c>
      <c r="AM345" s="1">
        <v>-4.0739999999999998</v>
      </c>
    </row>
    <row r="346" spans="1:39" x14ac:dyDescent="0.2">
      <c r="A346" s="1">
        <v>344.76600000000002</v>
      </c>
      <c r="B346" s="1">
        <v>0.57199999999999995</v>
      </c>
      <c r="D346" s="1">
        <v>344.64800000000002</v>
      </c>
      <c r="E346" s="1">
        <v>-7.133</v>
      </c>
      <c r="G346" s="1">
        <v>344.66</v>
      </c>
      <c r="H346" s="1">
        <v>0.20699999999999999</v>
      </c>
      <c r="J346" s="1">
        <v>344.642</v>
      </c>
      <c r="K346" s="1">
        <v>-0.2485</v>
      </c>
      <c r="AL346" s="1">
        <v>346.95699999999999</v>
      </c>
      <c r="AM346" s="1">
        <v>-4.0824999999999996</v>
      </c>
    </row>
    <row r="347" spans="1:39" x14ac:dyDescent="0.2">
      <c r="A347" s="1">
        <v>345.774</v>
      </c>
      <c r="B347" s="1">
        <v>0.4975</v>
      </c>
      <c r="D347" s="1">
        <v>345.654</v>
      </c>
      <c r="E347" s="1">
        <v>-7.2024999999999997</v>
      </c>
      <c r="G347" s="1">
        <v>345.66399999999999</v>
      </c>
      <c r="H347" s="1">
        <v>0.20849999999999999</v>
      </c>
      <c r="J347" s="1">
        <v>345.65</v>
      </c>
      <c r="K347" s="1">
        <v>-0.24199999999999999</v>
      </c>
      <c r="AL347" s="1">
        <v>347.96499999999997</v>
      </c>
      <c r="AM347" s="1">
        <v>-4.0890000000000004</v>
      </c>
    </row>
    <row r="348" spans="1:39" x14ac:dyDescent="0.2">
      <c r="A348" s="1">
        <v>346.78100000000001</v>
      </c>
      <c r="B348" s="1">
        <v>0.43099999999999999</v>
      </c>
      <c r="D348" s="1">
        <v>346.65800000000002</v>
      </c>
      <c r="E348" s="1">
        <v>-7.2645</v>
      </c>
      <c r="G348" s="1">
        <v>346.67</v>
      </c>
      <c r="H348" s="1">
        <v>0.2195</v>
      </c>
      <c r="J348" s="1">
        <v>346.65499999999997</v>
      </c>
      <c r="K348" s="1">
        <v>-0.23599999999999999</v>
      </c>
      <c r="AL348" s="1">
        <v>348.97199999999998</v>
      </c>
      <c r="AM348" s="1">
        <v>-4.0880000000000001</v>
      </c>
    </row>
    <row r="349" spans="1:39" x14ac:dyDescent="0.2">
      <c r="A349" s="1">
        <v>347.78500000000003</v>
      </c>
      <c r="B349" s="1">
        <v>0.36199999999999999</v>
      </c>
      <c r="D349" s="1">
        <v>347.66199999999998</v>
      </c>
      <c r="E349" s="1">
        <v>-7.3179999999999996</v>
      </c>
      <c r="G349" s="1">
        <v>347.67500000000001</v>
      </c>
      <c r="H349" s="1">
        <v>0.22500000000000001</v>
      </c>
      <c r="J349" s="1">
        <v>347.66</v>
      </c>
      <c r="K349" s="1">
        <v>-0.23</v>
      </c>
      <c r="AL349" s="1">
        <v>349.98</v>
      </c>
      <c r="AM349" s="1">
        <v>-4.0880000000000001</v>
      </c>
    </row>
    <row r="350" spans="1:39" x14ac:dyDescent="0.2">
      <c r="A350" s="1">
        <v>348.79199999999997</v>
      </c>
      <c r="B350" s="1">
        <v>0.29299999999999998</v>
      </c>
      <c r="D350" s="1">
        <v>348.66899999999998</v>
      </c>
      <c r="E350" s="1">
        <v>-7.3935000000000004</v>
      </c>
      <c r="G350" s="1">
        <v>348.68099999999998</v>
      </c>
      <c r="H350" s="1">
        <v>0.22950000000000001</v>
      </c>
      <c r="J350" s="1">
        <v>348.66699999999997</v>
      </c>
      <c r="K350" s="1">
        <v>-0.22500000000000001</v>
      </c>
      <c r="AL350" s="1">
        <v>350.98700000000002</v>
      </c>
      <c r="AM350" s="1">
        <v>-4.0890000000000004</v>
      </c>
    </row>
    <row r="351" spans="1:39" x14ac:dyDescent="0.2">
      <c r="A351" s="1">
        <v>349.79700000000003</v>
      </c>
      <c r="B351" s="1">
        <v>0.23799999999999999</v>
      </c>
      <c r="D351" s="1">
        <v>349.67500000000001</v>
      </c>
      <c r="E351" s="1">
        <v>-7.4480000000000004</v>
      </c>
      <c r="G351" s="1">
        <v>349.685</v>
      </c>
      <c r="H351" s="1">
        <v>0.23699999999999999</v>
      </c>
      <c r="J351" s="1">
        <v>349.67500000000001</v>
      </c>
      <c r="K351" s="1">
        <v>-0.217</v>
      </c>
      <c r="AL351" s="1">
        <v>351.995</v>
      </c>
      <c r="AM351" s="1">
        <v>-4.0955000000000004</v>
      </c>
    </row>
    <row r="352" spans="1:39" x14ac:dyDescent="0.2">
      <c r="A352" s="1">
        <v>350.80599999999998</v>
      </c>
      <c r="B352" s="1">
        <v>0.16950000000000001</v>
      </c>
      <c r="D352" s="1">
        <v>350.68200000000002</v>
      </c>
      <c r="E352" s="1">
        <v>-7.5194999999999999</v>
      </c>
      <c r="G352" s="1">
        <v>350.69499999999999</v>
      </c>
      <c r="H352" s="1">
        <v>0.24</v>
      </c>
      <c r="J352" s="1">
        <v>350.68</v>
      </c>
      <c r="K352" s="1">
        <v>-0.21199999999999999</v>
      </c>
      <c r="AL352" s="1">
        <v>353</v>
      </c>
      <c r="AM352" s="1">
        <v>-4.1005000000000003</v>
      </c>
    </row>
    <row r="353" spans="1:39" x14ac:dyDescent="0.2">
      <c r="A353" s="1">
        <v>351.81</v>
      </c>
      <c r="B353" s="1">
        <v>0.1075</v>
      </c>
      <c r="D353" s="1">
        <v>351.68900000000002</v>
      </c>
      <c r="E353" s="1">
        <v>-7.5884999999999998</v>
      </c>
      <c r="G353" s="1">
        <v>351.7</v>
      </c>
      <c r="H353" s="1">
        <v>0.247</v>
      </c>
      <c r="J353" s="1">
        <v>351.68599999999998</v>
      </c>
      <c r="K353" s="1">
        <v>-0.2145</v>
      </c>
      <c r="AL353" s="1">
        <v>354.00599999999997</v>
      </c>
      <c r="AM353" s="1">
        <v>-4.0949999999999998</v>
      </c>
    </row>
    <row r="354" spans="1:39" x14ac:dyDescent="0.2">
      <c r="A354" s="1">
        <v>352.81599999999997</v>
      </c>
      <c r="B354" s="1">
        <v>4.1500000000000002E-2</v>
      </c>
      <c r="D354" s="1">
        <v>352.69499999999999</v>
      </c>
      <c r="E354" s="1">
        <v>-7.6589999999999998</v>
      </c>
      <c r="G354" s="1">
        <v>352.70499999999998</v>
      </c>
      <c r="H354" s="1">
        <v>0.253</v>
      </c>
      <c r="J354" s="1">
        <v>352.68900000000002</v>
      </c>
      <c r="K354" s="1">
        <v>-0.2135</v>
      </c>
      <c r="AL354" s="1">
        <v>355.01</v>
      </c>
      <c r="AM354" s="1">
        <v>-4.0955000000000004</v>
      </c>
    </row>
    <row r="355" spans="1:39" x14ac:dyDescent="0.2">
      <c r="A355" s="1">
        <v>353.82100000000003</v>
      </c>
      <c r="B355" s="1">
        <v>-1.4E-2</v>
      </c>
      <c r="D355" s="1">
        <v>353.70299999999997</v>
      </c>
      <c r="E355" s="1">
        <v>-7.7309999999999999</v>
      </c>
      <c r="G355" s="1">
        <v>353.71199999999999</v>
      </c>
      <c r="H355" s="1">
        <v>0.25700000000000001</v>
      </c>
      <c r="J355" s="1">
        <v>353.69299999999998</v>
      </c>
      <c r="K355" s="1">
        <v>-0.2215</v>
      </c>
      <c r="AL355" s="1">
        <v>356.01400000000001</v>
      </c>
      <c r="AM355" s="1">
        <v>-4.0960000000000001</v>
      </c>
    </row>
    <row r="356" spans="1:39" x14ac:dyDescent="0.2">
      <c r="A356" s="1">
        <v>354.82600000000002</v>
      </c>
      <c r="B356" s="1">
        <v>-6.6500000000000004E-2</v>
      </c>
      <c r="D356" s="1">
        <v>354.70800000000003</v>
      </c>
      <c r="E356" s="1">
        <v>-7.7794999999999996</v>
      </c>
      <c r="G356" s="1">
        <v>354.71699999999998</v>
      </c>
      <c r="H356" s="1">
        <v>0.26600000000000001</v>
      </c>
      <c r="J356" s="1">
        <v>354.70100000000002</v>
      </c>
      <c r="K356" s="1">
        <v>-0.2175</v>
      </c>
      <c r="AL356" s="1">
        <v>357.02</v>
      </c>
      <c r="AM356" s="1">
        <v>-4.1050000000000004</v>
      </c>
    </row>
    <row r="357" spans="1:39" x14ac:dyDescent="0.2">
      <c r="A357" s="1">
        <v>355.83100000000002</v>
      </c>
      <c r="B357" s="1">
        <v>-0.13550000000000001</v>
      </c>
      <c r="D357" s="1">
        <v>355.71199999999999</v>
      </c>
      <c r="E357" s="1">
        <v>-6.3215000000000003</v>
      </c>
      <c r="G357" s="1">
        <v>355.72199999999998</v>
      </c>
      <c r="H357" s="1">
        <v>0.27650000000000002</v>
      </c>
      <c r="J357" s="1">
        <v>355.70499999999998</v>
      </c>
      <c r="K357" s="1">
        <v>-0.20799999999999999</v>
      </c>
      <c r="AL357" s="1">
        <v>358.02199999999999</v>
      </c>
      <c r="AM357" s="1">
        <v>-4.1020000000000003</v>
      </c>
    </row>
    <row r="358" spans="1:39" x14ac:dyDescent="0.2">
      <c r="A358" s="1">
        <v>356.83600000000001</v>
      </c>
      <c r="B358" s="1">
        <v>-0.19400000000000001</v>
      </c>
      <c r="D358" s="1">
        <v>356.71800000000002</v>
      </c>
      <c r="E358" s="1">
        <v>-4.0664999999999996</v>
      </c>
      <c r="G358" s="1">
        <v>356.72899999999998</v>
      </c>
      <c r="H358" s="1">
        <v>0.27900000000000003</v>
      </c>
      <c r="J358" s="1">
        <v>356.71100000000001</v>
      </c>
      <c r="K358" s="1">
        <v>-0.216</v>
      </c>
      <c r="AL358" s="1">
        <v>359.02499999999998</v>
      </c>
      <c r="AM358" s="1">
        <v>-4.1055000000000001</v>
      </c>
    </row>
    <row r="359" spans="1:39" x14ac:dyDescent="0.2">
      <c r="A359" s="1">
        <v>357.84100000000001</v>
      </c>
      <c r="B359" s="1">
        <v>-0.25750000000000001</v>
      </c>
      <c r="D359" s="1">
        <v>357.72199999999998</v>
      </c>
      <c r="E359" s="1">
        <v>-2.5844999999999998</v>
      </c>
      <c r="G359" s="1">
        <v>357.73700000000002</v>
      </c>
      <c r="H359" s="1">
        <v>0.29249999999999998</v>
      </c>
      <c r="J359" s="1">
        <v>357.71600000000001</v>
      </c>
      <c r="K359" s="1">
        <v>-0.22850000000000001</v>
      </c>
      <c r="AL359" s="1">
        <v>360.029</v>
      </c>
      <c r="AM359" s="1">
        <v>-4.1105</v>
      </c>
    </row>
    <row r="360" spans="1:39" x14ac:dyDescent="0.2">
      <c r="A360" s="1">
        <v>358.84699999999998</v>
      </c>
      <c r="B360" s="1">
        <v>-0.3155</v>
      </c>
      <c r="D360" s="1">
        <v>358.726</v>
      </c>
      <c r="E360" s="1">
        <v>-1.6815</v>
      </c>
      <c r="G360" s="1">
        <v>358.74299999999999</v>
      </c>
      <c r="H360" s="1">
        <v>0.30549999999999999</v>
      </c>
      <c r="J360" s="1">
        <v>358.721</v>
      </c>
      <c r="K360" s="1">
        <v>-0.23150000000000001</v>
      </c>
      <c r="AL360" s="1">
        <v>361.03399999999999</v>
      </c>
      <c r="AM360" s="1">
        <v>-4.1180000000000003</v>
      </c>
    </row>
    <row r="361" spans="1:39" x14ac:dyDescent="0.2">
      <c r="A361" s="1">
        <v>359.85</v>
      </c>
      <c r="B361" s="1">
        <v>-0.36149999999999999</v>
      </c>
      <c r="D361" s="1">
        <v>359.733</v>
      </c>
      <c r="E361" s="1">
        <v>-1.1220000000000001</v>
      </c>
      <c r="G361" s="1">
        <v>359.75</v>
      </c>
      <c r="H361" s="1">
        <v>0.31</v>
      </c>
      <c r="J361" s="1">
        <v>359.726</v>
      </c>
      <c r="K361" s="1">
        <v>-0.23699999999999999</v>
      </c>
      <c r="AL361" s="1">
        <v>362.04</v>
      </c>
      <c r="AM361" s="1">
        <v>-4.12</v>
      </c>
    </row>
    <row r="362" spans="1:39" x14ac:dyDescent="0.2">
      <c r="A362" s="1">
        <v>360.85599999999999</v>
      </c>
      <c r="B362" s="1">
        <v>-0.42299999999999999</v>
      </c>
      <c r="D362" s="1">
        <v>360.74</v>
      </c>
      <c r="E362" s="1">
        <v>-0.77049999999999996</v>
      </c>
      <c r="G362" s="1">
        <v>360.75400000000002</v>
      </c>
      <c r="H362" s="1">
        <v>0.318</v>
      </c>
      <c r="J362" s="1">
        <v>360.73200000000003</v>
      </c>
      <c r="K362" s="1">
        <v>-0.245</v>
      </c>
      <c r="AL362" s="1">
        <v>363.04399999999998</v>
      </c>
      <c r="AM362" s="1">
        <v>-4.1189999999999998</v>
      </c>
    </row>
    <row r="363" spans="1:39" x14ac:dyDescent="0.2">
      <c r="A363" s="1">
        <v>361.86</v>
      </c>
      <c r="B363" s="1">
        <v>-0.48299999999999998</v>
      </c>
      <c r="D363" s="1">
        <v>361.74400000000003</v>
      </c>
      <c r="E363" s="1">
        <v>-0.55100000000000005</v>
      </c>
      <c r="G363" s="1">
        <v>361.75700000000001</v>
      </c>
      <c r="H363" s="1">
        <v>0.32850000000000001</v>
      </c>
      <c r="J363" s="1">
        <v>361.74099999999999</v>
      </c>
      <c r="K363" s="1">
        <v>-0.24249999999999999</v>
      </c>
      <c r="AL363" s="1">
        <v>364.05099999999999</v>
      </c>
      <c r="AM363" s="1">
        <v>-4.1210000000000004</v>
      </c>
    </row>
    <row r="364" spans="1:39" x14ac:dyDescent="0.2">
      <c r="A364" s="1">
        <v>362.86500000000001</v>
      </c>
      <c r="B364" s="1">
        <v>-0.54300000000000004</v>
      </c>
      <c r="D364" s="1">
        <v>362.75</v>
      </c>
      <c r="E364" s="1">
        <v>-0.41599999999999998</v>
      </c>
      <c r="G364" s="1">
        <v>362.762</v>
      </c>
      <c r="H364" s="1">
        <v>0.33050000000000002</v>
      </c>
      <c r="J364" s="1">
        <v>362.74599999999998</v>
      </c>
      <c r="K364" s="1">
        <v>-0.2485</v>
      </c>
      <c r="AL364" s="1">
        <v>365.05700000000002</v>
      </c>
      <c r="AM364" s="1">
        <v>-4.1269999999999998</v>
      </c>
    </row>
    <row r="365" spans="1:39" x14ac:dyDescent="0.2">
      <c r="A365" s="1">
        <v>363.87099999999998</v>
      </c>
      <c r="B365" s="1">
        <v>-0.61399999999999999</v>
      </c>
      <c r="D365" s="1">
        <v>363.75400000000002</v>
      </c>
      <c r="E365" s="1">
        <v>-0.32550000000000001</v>
      </c>
      <c r="G365" s="1">
        <v>363.76799999999997</v>
      </c>
      <c r="H365" s="1">
        <v>0.34100000000000003</v>
      </c>
      <c r="J365" s="1">
        <v>363.75099999999998</v>
      </c>
      <c r="K365" s="1">
        <v>-0.255</v>
      </c>
      <c r="AL365" s="1">
        <v>366.065</v>
      </c>
      <c r="AM365" s="1">
        <v>-4.1304999999999996</v>
      </c>
    </row>
    <row r="366" spans="1:39" x14ac:dyDescent="0.2">
      <c r="A366" s="1">
        <v>364.87299999999999</v>
      </c>
      <c r="B366" s="1">
        <v>-0.67900000000000005</v>
      </c>
      <c r="D366" s="1">
        <v>364.75799999999998</v>
      </c>
      <c r="E366" s="1">
        <v>-0.26800000000000002</v>
      </c>
      <c r="G366" s="1">
        <v>364.77199999999999</v>
      </c>
      <c r="H366" s="1">
        <v>0.35</v>
      </c>
      <c r="J366" s="1">
        <v>364.75400000000002</v>
      </c>
      <c r="K366" s="1">
        <v>-0.26250000000000001</v>
      </c>
      <c r="AL366" s="1">
        <v>367.07299999999998</v>
      </c>
      <c r="AM366" s="1">
        <v>-4.1399999999999997</v>
      </c>
    </row>
    <row r="367" spans="1:39" x14ac:dyDescent="0.2">
      <c r="A367" s="1">
        <v>365.87700000000001</v>
      </c>
      <c r="B367" s="1">
        <v>-0.74099999999999999</v>
      </c>
      <c r="D367" s="1">
        <v>365.762</v>
      </c>
      <c r="E367" s="1">
        <v>-0.2215</v>
      </c>
      <c r="G367" s="1">
        <v>365.77800000000002</v>
      </c>
      <c r="H367" s="1">
        <v>0.34949999999999998</v>
      </c>
      <c r="J367" s="1">
        <v>365.75900000000001</v>
      </c>
      <c r="K367" s="1">
        <v>-0.25800000000000001</v>
      </c>
      <c r="AL367" s="1">
        <v>368.07799999999997</v>
      </c>
      <c r="AM367" s="1">
        <v>-4.141</v>
      </c>
    </row>
    <row r="368" spans="1:39" x14ac:dyDescent="0.2">
      <c r="A368" s="1">
        <v>366.88200000000001</v>
      </c>
      <c r="B368" s="1">
        <v>-0.80549999999999999</v>
      </c>
      <c r="D368" s="1">
        <v>366.76600000000002</v>
      </c>
      <c r="E368" s="1">
        <v>-0.1915</v>
      </c>
      <c r="G368" s="1">
        <v>366.78399999999999</v>
      </c>
      <c r="H368" s="1">
        <v>0.35599999999999998</v>
      </c>
      <c r="J368" s="1">
        <v>366.76299999999998</v>
      </c>
      <c r="K368" s="1">
        <v>-0.26450000000000001</v>
      </c>
    </row>
    <row r="369" spans="1:11" x14ac:dyDescent="0.2">
      <c r="A369" s="1">
        <v>367.89</v>
      </c>
      <c r="B369" s="1">
        <v>-0.871</v>
      </c>
      <c r="D369" s="1">
        <v>367.774</v>
      </c>
      <c r="E369" s="1">
        <v>-0.16350000000000001</v>
      </c>
      <c r="G369" s="1">
        <v>367.79</v>
      </c>
      <c r="H369" s="1">
        <v>0.36399999999999999</v>
      </c>
      <c r="J369" s="1">
        <v>367.767</v>
      </c>
      <c r="K369" s="1">
        <v>-0.26800000000000002</v>
      </c>
    </row>
    <row r="370" spans="1:11" x14ac:dyDescent="0.2">
      <c r="A370" s="1">
        <v>368.89600000000002</v>
      </c>
      <c r="B370" s="1">
        <v>-0.94099999999999995</v>
      </c>
      <c r="D370" s="1">
        <v>368.78100000000001</v>
      </c>
      <c r="E370" s="1">
        <v>-0.14799999999999999</v>
      </c>
      <c r="G370" s="1">
        <v>368.79399999999998</v>
      </c>
      <c r="H370" s="1">
        <v>0.36399999999999999</v>
      </c>
      <c r="J370" s="1">
        <v>368.77499999999998</v>
      </c>
      <c r="K370" s="1">
        <v>-0.26800000000000002</v>
      </c>
    </row>
    <row r="371" spans="1:11" x14ac:dyDescent="0.2">
      <c r="A371" s="1">
        <v>369.90199999999999</v>
      </c>
      <c r="B371" s="1">
        <v>-0.998</v>
      </c>
      <c r="D371" s="1">
        <v>369.78800000000001</v>
      </c>
      <c r="E371" s="1">
        <v>-0.13800000000000001</v>
      </c>
      <c r="G371" s="1">
        <v>369.8</v>
      </c>
      <c r="H371" s="1">
        <v>0.3715</v>
      </c>
      <c r="J371" s="1">
        <v>369.78</v>
      </c>
      <c r="K371" s="1">
        <v>-0.26900000000000002</v>
      </c>
    </row>
    <row r="372" spans="1:11" x14ac:dyDescent="0.2">
      <c r="A372" s="1">
        <v>370.91</v>
      </c>
      <c r="B372" s="1">
        <v>-1.0660000000000001</v>
      </c>
      <c r="D372" s="1">
        <v>370.79700000000003</v>
      </c>
      <c r="E372" s="1">
        <v>-0.112</v>
      </c>
      <c r="G372" s="1">
        <v>370.80500000000001</v>
      </c>
      <c r="H372" s="1">
        <v>0.3765</v>
      </c>
      <c r="J372" s="1">
        <v>370.78899999999999</v>
      </c>
      <c r="K372" s="1">
        <v>-0.27300000000000002</v>
      </c>
    </row>
    <row r="373" spans="1:11" x14ac:dyDescent="0.2">
      <c r="A373" s="1">
        <v>371.916</v>
      </c>
      <c r="B373" s="1">
        <v>-1.1335</v>
      </c>
      <c r="D373" s="1">
        <v>371.80399999999997</v>
      </c>
      <c r="E373" s="1">
        <v>-0.10299999999999999</v>
      </c>
      <c r="G373" s="1">
        <v>371.81099999999998</v>
      </c>
      <c r="H373" s="1">
        <v>0.3805</v>
      </c>
      <c r="J373" s="1">
        <v>371.79700000000003</v>
      </c>
      <c r="K373" s="1">
        <v>-0.26250000000000001</v>
      </c>
    </row>
    <row r="374" spans="1:11" x14ac:dyDescent="0.2">
      <c r="A374" s="1">
        <v>372.92399999999998</v>
      </c>
      <c r="B374" s="1">
        <v>-1.196</v>
      </c>
      <c r="D374" s="1">
        <v>372.80799999999999</v>
      </c>
      <c r="E374" s="1">
        <v>-9.6500000000000002E-2</v>
      </c>
      <c r="G374" s="1">
        <v>372.81700000000001</v>
      </c>
      <c r="H374" s="1">
        <v>0.38250000000000001</v>
      </c>
      <c r="J374" s="1">
        <v>372.80399999999997</v>
      </c>
      <c r="K374" s="1">
        <v>-0.25950000000000001</v>
      </c>
    </row>
    <row r="375" spans="1:11" x14ac:dyDescent="0.2">
      <c r="A375" s="1">
        <v>373.928</v>
      </c>
      <c r="B375" s="1">
        <v>-1.2609999999999999</v>
      </c>
      <c r="D375" s="1">
        <v>373.81400000000002</v>
      </c>
      <c r="E375" s="1">
        <v>-8.9499999999999996E-2</v>
      </c>
      <c r="G375" s="1">
        <v>373.827</v>
      </c>
      <c r="H375" s="1">
        <v>0.38650000000000001</v>
      </c>
      <c r="J375" s="1">
        <v>373.81099999999998</v>
      </c>
      <c r="K375" s="1">
        <v>-0.2555</v>
      </c>
    </row>
    <row r="376" spans="1:11" x14ac:dyDescent="0.2">
      <c r="A376" s="1">
        <v>374.93299999999999</v>
      </c>
      <c r="B376" s="1">
        <v>-1.3240000000000001</v>
      </c>
      <c r="D376" s="1">
        <v>374.81799999999998</v>
      </c>
      <c r="E376" s="1">
        <v>-7.9000000000000001E-2</v>
      </c>
      <c r="G376" s="1">
        <v>374.834</v>
      </c>
      <c r="H376" s="1">
        <v>0.38300000000000001</v>
      </c>
      <c r="J376" s="1">
        <v>374.81700000000001</v>
      </c>
      <c r="K376" s="1">
        <v>-0.26100000000000001</v>
      </c>
    </row>
    <row r="377" spans="1:11" x14ac:dyDescent="0.2">
      <c r="A377" s="1">
        <v>375.94</v>
      </c>
      <c r="B377" s="1">
        <v>-1.383</v>
      </c>
      <c r="D377" s="1">
        <v>375.82299999999998</v>
      </c>
      <c r="E377" s="1">
        <v>-8.0500000000000002E-2</v>
      </c>
      <c r="G377" s="1">
        <v>375.839</v>
      </c>
      <c r="H377" s="1">
        <v>0.38450000000000001</v>
      </c>
      <c r="J377" s="1">
        <v>375.827</v>
      </c>
      <c r="K377" s="1">
        <v>-0.255</v>
      </c>
    </row>
    <row r="378" spans="1:11" x14ac:dyDescent="0.2">
      <c r="A378" s="1">
        <v>376.94499999999999</v>
      </c>
      <c r="B378" s="1">
        <v>-1.4524999999999999</v>
      </c>
      <c r="D378" s="1">
        <v>376.82900000000001</v>
      </c>
      <c r="E378" s="1">
        <v>-7.2499999999999995E-2</v>
      </c>
      <c r="G378" s="1">
        <v>376.84300000000002</v>
      </c>
      <c r="H378" s="1">
        <v>0.39050000000000001</v>
      </c>
      <c r="J378" s="1">
        <v>376.83199999999999</v>
      </c>
      <c r="K378" s="1">
        <v>-0.25750000000000001</v>
      </c>
    </row>
    <row r="379" spans="1:11" x14ac:dyDescent="0.2">
      <c r="A379" s="1">
        <v>377.95299999999997</v>
      </c>
      <c r="B379" s="1">
        <v>-1.5149999999999999</v>
      </c>
      <c r="D379" s="1">
        <v>377.83600000000001</v>
      </c>
      <c r="E379" s="1">
        <v>-7.0000000000000007E-2</v>
      </c>
      <c r="G379" s="1">
        <v>377.84899999999999</v>
      </c>
      <c r="H379" s="1">
        <v>0.38150000000000001</v>
      </c>
      <c r="J379" s="5"/>
    </row>
    <row r="380" spans="1:11" x14ac:dyDescent="0.2">
      <c r="A380" s="1">
        <v>378.95800000000003</v>
      </c>
      <c r="B380" s="1">
        <v>-1.577</v>
      </c>
      <c r="D380" s="1">
        <v>378.84300000000002</v>
      </c>
      <c r="E380" s="1">
        <v>-6.0499999999999998E-2</v>
      </c>
      <c r="G380" s="1">
        <v>378.85399999999998</v>
      </c>
      <c r="H380" s="1">
        <v>0.3775</v>
      </c>
      <c r="J380" s="5"/>
    </row>
    <row r="381" spans="1:11" x14ac:dyDescent="0.2">
      <c r="A381" s="1">
        <v>379.96499999999997</v>
      </c>
      <c r="B381" s="1">
        <v>-1.6555</v>
      </c>
      <c r="D381" s="1">
        <v>379.84899999999999</v>
      </c>
      <c r="E381" s="1">
        <v>-0.06</v>
      </c>
      <c r="G381" s="1">
        <v>379.86</v>
      </c>
      <c r="H381" s="1">
        <v>0.3745</v>
      </c>
    </row>
    <row r="382" spans="1:11" x14ac:dyDescent="0.2">
      <c r="A382" s="1">
        <v>380.971</v>
      </c>
      <c r="B382" s="1">
        <v>-1.724</v>
      </c>
      <c r="D382" s="1">
        <v>380.85599999999999</v>
      </c>
      <c r="E382" s="1">
        <v>-4.9500000000000002E-2</v>
      </c>
      <c r="G382" s="1">
        <v>380.86500000000001</v>
      </c>
      <c r="H382" s="1">
        <v>0.3785</v>
      </c>
    </row>
    <row r="383" spans="1:11" x14ac:dyDescent="0.2">
      <c r="A383" s="1">
        <v>381.976</v>
      </c>
      <c r="B383" s="1">
        <v>-1.7815000000000001</v>
      </c>
      <c r="D383" s="1">
        <v>381.863</v>
      </c>
      <c r="E383" s="1">
        <v>-4.7E-2</v>
      </c>
      <c r="G383" s="1">
        <v>381.87400000000002</v>
      </c>
      <c r="H383" s="1">
        <v>0.36799999999999999</v>
      </c>
    </row>
    <row r="384" spans="1:11" x14ac:dyDescent="0.2">
      <c r="A384" s="1">
        <v>382.98099999999999</v>
      </c>
      <c r="B384" s="1">
        <v>-1.8380000000000001</v>
      </c>
      <c r="D384" s="1">
        <v>382.87</v>
      </c>
      <c r="E384" s="1">
        <v>-4.1000000000000002E-2</v>
      </c>
      <c r="G384" s="1">
        <v>382.88099999999997</v>
      </c>
      <c r="H384" s="1">
        <v>0.372</v>
      </c>
    </row>
    <row r="385" spans="1:8" x14ac:dyDescent="0.2">
      <c r="A385" s="1">
        <v>383.98700000000002</v>
      </c>
      <c r="B385" s="1">
        <v>-1.901</v>
      </c>
      <c r="D385" s="1">
        <v>383.87700000000001</v>
      </c>
      <c r="E385" s="1">
        <v>-3.7999999999999999E-2</v>
      </c>
      <c r="G385" s="1">
        <v>383.88799999999998</v>
      </c>
      <c r="H385" s="1">
        <v>0.36699999999999999</v>
      </c>
    </row>
    <row r="386" spans="1:8" x14ac:dyDescent="0.2">
      <c r="A386" s="1">
        <v>384.99299999999999</v>
      </c>
      <c r="B386" s="1">
        <v>-1.962</v>
      </c>
      <c r="D386" s="1">
        <v>384.88099999999997</v>
      </c>
      <c r="E386" s="1">
        <v>-3.3500000000000002E-2</v>
      </c>
      <c r="G386" s="1">
        <v>384.89499999999998</v>
      </c>
      <c r="H386" s="1">
        <v>0.36549999999999999</v>
      </c>
    </row>
    <row r="387" spans="1:8" x14ac:dyDescent="0.2">
      <c r="A387" s="1">
        <v>386</v>
      </c>
      <c r="B387" s="1">
        <v>-2.0345</v>
      </c>
      <c r="D387" s="1">
        <v>385.88799999999998</v>
      </c>
      <c r="E387" s="1">
        <v>-3.6499999999999998E-2</v>
      </c>
      <c r="G387" s="1">
        <v>385.90199999999999</v>
      </c>
      <c r="H387" s="1">
        <v>0.3715</v>
      </c>
    </row>
    <row r="388" spans="1:8" x14ac:dyDescent="0.2">
      <c r="A388" s="1">
        <v>387.00599999999997</v>
      </c>
      <c r="B388" s="1">
        <v>-2.1044999999999998</v>
      </c>
      <c r="D388" s="1">
        <v>386.89299999999997</v>
      </c>
      <c r="E388" s="1">
        <v>-2.6499999999999999E-2</v>
      </c>
      <c r="G388" s="1">
        <v>386.90499999999997</v>
      </c>
      <c r="H388" s="1">
        <v>0.3735</v>
      </c>
    </row>
    <row r="389" spans="1:8" x14ac:dyDescent="0.2">
      <c r="A389" s="1">
        <v>388.01299999999998</v>
      </c>
      <c r="B389" s="1">
        <v>-2.1724999999999999</v>
      </c>
      <c r="D389" s="1">
        <v>387.9</v>
      </c>
      <c r="E389" s="1">
        <v>-2.2499999999999999E-2</v>
      </c>
      <c r="G389" s="1">
        <v>387.90899999999999</v>
      </c>
      <c r="H389" s="1">
        <v>0.3725</v>
      </c>
    </row>
    <row r="390" spans="1:8" x14ac:dyDescent="0.2">
      <c r="A390" s="1">
        <v>389.02</v>
      </c>
      <c r="B390" s="1">
        <v>-2.238</v>
      </c>
      <c r="D390" s="1">
        <v>388.904</v>
      </c>
      <c r="E390" s="1">
        <v>-2.1999999999999999E-2</v>
      </c>
      <c r="G390" s="1">
        <v>388.91399999999999</v>
      </c>
      <c r="H390" s="1">
        <v>0.36449999999999999</v>
      </c>
    </row>
    <row r="391" spans="1:8" x14ac:dyDescent="0.2">
      <c r="A391" s="1">
        <v>390.02600000000001</v>
      </c>
      <c r="B391" s="1">
        <v>-2.3029999999999999</v>
      </c>
      <c r="D391" s="1">
        <v>389.91</v>
      </c>
      <c r="E391" s="1">
        <v>-2.1000000000000001E-2</v>
      </c>
      <c r="G391" s="1">
        <v>389.92</v>
      </c>
      <c r="H391" s="1">
        <v>0.35699999999999998</v>
      </c>
    </row>
    <row r="392" spans="1:8" x14ac:dyDescent="0.2">
      <c r="A392" s="1">
        <v>391.03</v>
      </c>
      <c r="B392" s="1">
        <v>-2.3654999999999999</v>
      </c>
      <c r="D392" s="1">
        <v>390.916</v>
      </c>
      <c r="E392" s="1">
        <v>-1.4E-2</v>
      </c>
      <c r="G392" s="1">
        <v>390.92399999999998</v>
      </c>
      <c r="H392" s="1">
        <v>0.35399999999999998</v>
      </c>
    </row>
    <row r="393" spans="1:8" x14ac:dyDescent="0.2">
      <c r="A393" s="1">
        <v>392.03699999999998</v>
      </c>
      <c r="B393" s="1">
        <v>-2.4375</v>
      </c>
      <c r="D393" s="1">
        <v>391.923</v>
      </c>
      <c r="E393" s="1">
        <v>-8.0000000000000002E-3</v>
      </c>
      <c r="G393" s="1">
        <v>391.93</v>
      </c>
      <c r="H393" s="1">
        <v>0.34599999999999997</v>
      </c>
    </row>
    <row r="394" spans="1:8" x14ac:dyDescent="0.2">
      <c r="A394" s="1">
        <v>393.04199999999997</v>
      </c>
      <c r="B394" s="1">
        <v>-2.4969999999999999</v>
      </c>
      <c r="D394" s="1">
        <v>392.92599999999999</v>
      </c>
      <c r="E394" s="1">
        <v>-7.0000000000000001E-3</v>
      </c>
      <c r="G394" s="1">
        <v>392.935</v>
      </c>
      <c r="H394" s="1">
        <v>0.34100000000000003</v>
      </c>
    </row>
    <row r="395" spans="1:8" x14ac:dyDescent="0.2">
      <c r="A395" s="1">
        <v>394.04500000000002</v>
      </c>
      <c r="B395" s="1">
        <v>-2.57</v>
      </c>
      <c r="D395" s="1">
        <v>393.92899999999997</v>
      </c>
      <c r="E395" s="1">
        <v>-2E-3</v>
      </c>
      <c r="G395" s="1">
        <v>393.93900000000002</v>
      </c>
      <c r="H395" s="1">
        <v>0.33300000000000002</v>
      </c>
    </row>
    <row r="396" spans="1:8" x14ac:dyDescent="0.2">
      <c r="A396" s="1">
        <v>395.05099999999999</v>
      </c>
      <c r="B396" s="1">
        <v>-2.6379999999999999</v>
      </c>
      <c r="D396" s="1">
        <v>394.93299999999999</v>
      </c>
      <c r="E396" s="1">
        <v>-2E-3</v>
      </c>
      <c r="G396" s="1">
        <v>394.94400000000002</v>
      </c>
      <c r="H396" s="1">
        <v>0.33</v>
      </c>
    </row>
    <row r="397" spans="1:8" x14ac:dyDescent="0.2">
      <c r="A397" s="1">
        <v>396.05500000000001</v>
      </c>
      <c r="B397" s="1">
        <v>-2.7</v>
      </c>
      <c r="D397" s="1">
        <v>395.93599999999998</v>
      </c>
      <c r="E397" s="1">
        <v>-1E-3</v>
      </c>
      <c r="G397" s="1">
        <v>395.94900000000001</v>
      </c>
      <c r="H397" s="1">
        <v>0.32700000000000001</v>
      </c>
    </row>
    <row r="398" spans="1:8" x14ac:dyDescent="0.2">
      <c r="A398" s="1">
        <v>397.06</v>
      </c>
      <c r="B398" s="1">
        <v>-2.774</v>
      </c>
      <c r="D398" s="1">
        <v>396.94200000000001</v>
      </c>
      <c r="E398" s="1">
        <v>3.5000000000000001E-3</v>
      </c>
      <c r="G398" s="1">
        <v>396.95499999999998</v>
      </c>
      <c r="H398" s="1">
        <v>0.32300000000000001</v>
      </c>
    </row>
    <row r="399" spans="1:8" x14ac:dyDescent="0.2">
      <c r="A399" s="1">
        <v>398.065</v>
      </c>
      <c r="B399" s="1">
        <v>-2.8315000000000001</v>
      </c>
      <c r="D399" s="1">
        <v>397.947</v>
      </c>
      <c r="E399" s="1">
        <v>4.4999999999999997E-3</v>
      </c>
      <c r="G399" s="1">
        <v>397.96199999999999</v>
      </c>
      <c r="H399" s="1">
        <v>0.31900000000000001</v>
      </c>
    </row>
    <row r="400" spans="1:8" x14ac:dyDescent="0.2">
      <c r="A400" s="1">
        <v>399.07299999999998</v>
      </c>
      <c r="B400" s="1">
        <v>-2.9020000000000001</v>
      </c>
      <c r="D400" s="1">
        <v>398.95299999999997</v>
      </c>
      <c r="E400" s="1">
        <v>7.0000000000000001E-3</v>
      </c>
      <c r="G400" s="1">
        <v>398.96899999999999</v>
      </c>
      <c r="H400" s="1">
        <v>0.3165</v>
      </c>
    </row>
    <row r="401" spans="1:8" x14ac:dyDescent="0.2">
      <c r="A401" s="1">
        <v>400.07799999999997</v>
      </c>
      <c r="B401" s="1">
        <v>-2.9710000000000001</v>
      </c>
      <c r="D401" s="1">
        <v>399.95800000000003</v>
      </c>
      <c r="E401" s="1">
        <v>1.2E-2</v>
      </c>
      <c r="G401" s="1">
        <v>399.97399999999999</v>
      </c>
      <c r="H401" s="1">
        <v>0.308</v>
      </c>
    </row>
    <row r="402" spans="1:8" x14ac:dyDescent="0.2">
      <c r="A402" s="1">
        <v>401.08300000000003</v>
      </c>
      <c r="B402" s="1">
        <v>-3.0390000000000001</v>
      </c>
      <c r="D402" s="1">
        <v>400.964</v>
      </c>
      <c r="E402" s="1">
        <v>7.0000000000000001E-3</v>
      </c>
      <c r="G402" s="1">
        <v>400.98099999999999</v>
      </c>
      <c r="H402" s="1">
        <v>0.308</v>
      </c>
    </row>
    <row r="403" spans="1:8" x14ac:dyDescent="0.2">
      <c r="A403" s="1">
        <v>402.09100000000001</v>
      </c>
      <c r="B403" s="1">
        <v>-3.1080000000000001</v>
      </c>
      <c r="D403" s="1">
        <v>401.97199999999998</v>
      </c>
      <c r="E403" s="1">
        <v>1.2500000000000001E-2</v>
      </c>
      <c r="G403" s="1">
        <v>401.99</v>
      </c>
      <c r="H403" s="1">
        <v>0.3115</v>
      </c>
    </row>
    <row r="404" spans="1:8" x14ac:dyDescent="0.2">
      <c r="A404" s="1">
        <v>403.096</v>
      </c>
      <c r="B404" s="1">
        <v>-3.1705000000000001</v>
      </c>
      <c r="D404" s="1">
        <v>402.97500000000002</v>
      </c>
      <c r="E404" s="1">
        <v>1.4500000000000001E-2</v>
      </c>
      <c r="G404" s="1">
        <v>402.995</v>
      </c>
      <c r="H404" s="1">
        <v>0.30649999999999999</v>
      </c>
    </row>
    <row r="405" spans="1:8" x14ac:dyDescent="0.2">
      <c r="A405" s="1">
        <v>404.10399999999998</v>
      </c>
      <c r="B405" s="1">
        <v>-3.2334999999999998</v>
      </c>
      <c r="D405" s="1">
        <v>403.98</v>
      </c>
      <c r="E405" s="1">
        <v>1.2E-2</v>
      </c>
      <c r="G405" s="1">
        <v>404.00099999999998</v>
      </c>
      <c r="H405" s="1">
        <v>0.31</v>
      </c>
    </row>
    <row r="406" spans="1:8" x14ac:dyDescent="0.2">
      <c r="A406" s="1">
        <v>405.11</v>
      </c>
      <c r="B406" s="1">
        <v>-3.3039999999999998</v>
      </c>
      <c r="D406" s="1">
        <v>404.98399999999998</v>
      </c>
      <c r="E406" s="1">
        <v>1.2500000000000001E-2</v>
      </c>
      <c r="G406" s="1">
        <v>405.005</v>
      </c>
      <c r="H406" s="1">
        <v>0.3105</v>
      </c>
    </row>
    <row r="407" spans="1:8" x14ac:dyDescent="0.2">
      <c r="A407" s="1">
        <v>406.11700000000002</v>
      </c>
      <c r="B407" s="1">
        <v>-3.3730000000000002</v>
      </c>
      <c r="D407" s="1">
        <v>405.99</v>
      </c>
      <c r="E407" s="1">
        <v>8.5000000000000006E-3</v>
      </c>
      <c r="G407" s="1">
        <v>406.00900000000001</v>
      </c>
      <c r="H407" s="1">
        <v>0.3095</v>
      </c>
    </row>
    <row r="408" spans="1:8" x14ac:dyDescent="0.2">
      <c r="A408" s="1">
        <v>407.125</v>
      </c>
      <c r="B408" s="1">
        <v>-3.4434999999999998</v>
      </c>
      <c r="D408" s="1">
        <v>406.99400000000003</v>
      </c>
      <c r="E408" s="1">
        <v>1.4999999999999999E-2</v>
      </c>
      <c r="G408" s="1">
        <v>407.01400000000001</v>
      </c>
      <c r="H408" s="1">
        <v>0.30599999999999999</v>
      </c>
    </row>
    <row r="409" spans="1:8" x14ac:dyDescent="0.2">
      <c r="A409" s="1">
        <v>408.13099999999997</v>
      </c>
      <c r="B409" s="1">
        <v>-3.5070000000000001</v>
      </c>
      <c r="D409" s="1">
        <v>408.00200000000001</v>
      </c>
      <c r="E409" s="1">
        <v>1.4999999999999999E-2</v>
      </c>
      <c r="G409" s="1">
        <v>408.02</v>
      </c>
      <c r="H409" s="1">
        <v>0.30599999999999999</v>
      </c>
    </row>
    <row r="410" spans="1:8" x14ac:dyDescent="0.2">
      <c r="A410" s="1">
        <v>409.13600000000002</v>
      </c>
      <c r="B410" s="1">
        <v>-3.5590000000000002</v>
      </c>
      <c r="D410" s="1">
        <v>409.00900000000001</v>
      </c>
      <c r="E410" s="1">
        <v>1.9E-2</v>
      </c>
      <c r="G410" s="1">
        <v>409.024</v>
      </c>
      <c r="H410" s="1">
        <v>0.311</v>
      </c>
    </row>
    <row r="411" spans="1:8" x14ac:dyDescent="0.2">
      <c r="A411" s="1">
        <v>410.14100000000002</v>
      </c>
      <c r="B411" s="1">
        <v>-3.6305000000000001</v>
      </c>
      <c r="D411" s="1">
        <v>410.01600000000002</v>
      </c>
      <c r="E411" s="1">
        <v>1.7500000000000002E-2</v>
      </c>
      <c r="G411" s="1">
        <v>410.029</v>
      </c>
      <c r="H411" s="1">
        <v>0.30349999999999999</v>
      </c>
    </row>
    <row r="412" spans="1:8" x14ac:dyDescent="0.2">
      <c r="A412" s="1">
        <v>411.149</v>
      </c>
      <c r="B412" s="1">
        <v>-3.6829999999999998</v>
      </c>
      <c r="D412" s="1">
        <v>411.02300000000002</v>
      </c>
      <c r="E412" s="1">
        <v>0.02</v>
      </c>
      <c r="G412" s="1">
        <v>411.03500000000003</v>
      </c>
      <c r="H412" s="1">
        <v>0.30049999999999999</v>
      </c>
    </row>
    <row r="413" spans="1:8" x14ac:dyDescent="0.2">
      <c r="A413" s="1">
        <v>412.15499999999997</v>
      </c>
      <c r="B413" s="1">
        <v>-3.7465000000000002</v>
      </c>
      <c r="D413" s="1">
        <v>412.02699999999999</v>
      </c>
      <c r="E413" s="1">
        <v>1.7500000000000002E-2</v>
      </c>
      <c r="G413" s="1">
        <v>412.04</v>
      </c>
      <c r="H413" s="1">
        <v>0.29599999999999999</v>
      </c>
    </row>
    <row r="414" spans="1:8" x14ac:dyDescent="0.2">
      <c r="A414" s="1">
        <v>413.15899999999999</v>
      </c>
      <c r="B414" s="1">
        <v>-3.8109999999999999</v>
      </c>
      <c r="D414" s="1">
        <v>413.03300000000002</v>
      </c>
      <c r="E414" s="1">
        <v>1.4999999999999999E-2</v>
      </c>
      <c r="G414" s="1">
        <v>413.04500000000002</v>
      </c>
      <c r="H414" s="1">
        <v>0.3</v>
      </c>
    </row>
    <row r="415" spans="1:8" x14ac:dyDescent="0.2">
      <c r="A415" s="1">
        <v>414.16399999999999</v>
      </c>
      <c r="B415" s="1">
        <v>-3.8774999999999999</v>
      </c>
      <c r="D415" s="1">
        <v>414.03899999999999</v>
      </c>
      <c r="E415" s="1">
        <v>1.6E-2</v>
      </c>
      <c r="G415" s="1">
        <v>414.04899999999998</v>
      </c>
      <c r="H415" s="1">
        <v>0.29099999999999998</v>
      </c>
    </row>
    <row r="416" spans="1:8" x14ac:dyDescent="0.2">
      <c r="A416" s="1">
        <v>415.17200000000003</v>
      </c>
      <c r="B416" s="1">
        <v>-3.9315000000000002</v>
      </c>
      <c r="D416" s="1">
        <v>415.04500000000002</v>
      </c>
      <c r="E416" s="1">
        <v>2.0500000000000001E-2</v>
      </c>
      <c r="G416" s="1">
        <v>415.05500000000001</v>
      </c>
      <c r="H416" s="1">
        <v>0.29749999999999999</v>
      </c>
    </row>
    <row r="417" spans="1:8" x14ac:dyDescent="0.2">
      <c r="A417" s="1">
        <v>416.17700000000002</v>
      </c>
      <c r="B417" s="1">
        <v>-4</v>
      </c>
      <c r="D417" s="1">
        <v>416.048</v>
      </c>
      <c r="E417" s="1">
        <v>2.4500000000000001E-2</v>
      </c>
      <c r="G417" s="1">
        <v>416.06099999999998</v>
      </c>
      <c r="H417" s="1">
        <v>0.29749999999999999</v>
      </c>
    </row>
    <row r="418" spans="1:8" x14ac:dyDescent="0.2">
      <c r="A418" s="1">
        <v>417.18200000000002</v>
      </c>
      <c r="B418" s="1">
        <v>-4.0670000000000002</v>
      </c>
      <c r="D418" s="1">
        <v>417.05200000000002</v>
      </c>
      <c r="E418" s="1">
        <v>2.3E-2</v>
      </c>
      <c r="G418" s="1">
        <v>417.06900000000002</v>
      </c>
      <c r="H418" s="1">
        <v>0.29249999999999998</v>
      </c>
    </row>
    <row r="419" spans="1:8" x14ac:dyDescent="0.2">
      <c r="A419" s="1">
        <v>418.18799999999999</v>
      </c>
      <c r="B419" s="1">
        <v>-4.1319999999999997</v>
      </c>
      <c r="D419" s="1">
        <v>418.05700000000002</v>
      </c>
      <c r="E419" s="1">
        <v>1.9E-2</v>
      </c>
      <c r="G419" s="1">
        <v>418.07600000000002</v>
      </c>
      <c r="H419" s="1">
        <v>0.28399999999999997</v>
      </c>
    </row>
    <row r="420" spans="1:8" x14ac:dyDescent="0.2">
      <c r="A420" s="1">
        <v>419.19499999999999</v>
      </c>
      <c r="B420" s="1">
        <v>-4.2054999999999998</v>
      </c>
      <c r="D420" s="1">
        <v>419.06299999999999</v>
      </c>
      <c r="E420" s="1">
        <v>1.7999999999999999E-2</v>
      </c>
      <c r="G420" s="1">
        <v>419.08100000000002</v>
      </c>
      <c r="H420" s="1">
        <v>0.27850000000000003</v>
      </c>
    </row>
    <row r="421" spans="1:8" x14ac:dyDescent="0.2">
      <c r="A421" s="1">
        <v>420.20100000000002</v>
      </c>
      <c r="B421" s="1">
        <v>-4.2655000000000003</v>
      </c>
      <c r="D421" s="1">
        <v>420.06700000000001</v>
      </c>
      <c r="E421" s="1">
        <v>2.7E-2</v>
      </c>
      <c r="G421" s="1">
        <v>420.08499999999998</v>
      </c>
      <c r="H421" s="1">
        <v>0.27400000000000002</v>
      </c>
    </row>
    <row r="422" spans="1:8" x14ac:dyDescent="0.2">
      <c r="A422" s="1">
        <v>421.20699999999999</v>
      </c>
      <c r="B422" s="1">
        <v>-4.3265000000000002</v>
      </c>
      <c r="D422" s="1">
        <v>421.072</v>
      </c>
      <c r="E422" s="1">
        <v>1.9E-2</v>
      </c>
      <c r="G422" s="1">
        <v>421.09</v>
      </c>
      <c r="H422" s="1">
        <v>0.26200000000000001</v>
      </c>
    </row>
    <row r="423" spans="1:8" x14ac:dyDescent="0.2">
      <c r="A423" s="1">
        <v>422.21499999999997</v>
      </c>
      <c r="B423" s="1">
        <v>-4.3864999999999998</v>
      </c>
      <c r="D423" s="1">
        <v>422.07799999999997</v>
      </c>
      <c r="E423" s="1">
        <v>0.02</v>
      </c>
      <c r="G423" s="1">
        <v>422.096</v>
      </c>
      <c r="H423" s="1">
        <v>0.25750000000000001</v>
      </c>
    </row>
    <row r="424" spans="1:8" x14ac:dyDescent="0.2">
      <c r="A424" s="1">
        <v>423.22</v>
      </c>
      <c r="B424" s="1">
        <v>-4.4429999999999996</v>
      </c>
      <c r="D424" s="1">
        <v>423.08699999999999</v>
      </c>
      <c r="E424" s="1">
        <v>2.75E-2</v>
      </c>
      <c r="G424" s="1">
        <v>423.10300000000001</v>
      </c>
      <c r="H424" s="1">
        <v>0.248</v>
      </c>
    </row>
    <row r="425" spans="1:8" x14ac:dyDescent="0.2">
      <c r="A425" s="1">
        <v>424.22500000000002</v>
      </c>
      <c r="B425" s="1">
        <v>-4.5030000000000001</v>
      </c>
      <c r="D425" s="1">
        <v>424.09399999999999</v>
      </c>
      <c r="E425" s="1">
        <v>3.0499999999999999E-2</v>
      </c>
      <c r="G425" s="1">
        <v>424.11</v>
      </c>
      <c r="H425" s="1">
        <v>0.23449999999999999</v>
      </c>
    </row>
    <row r="426" spans="1:8" x14ac:dyDescent="0.2">
      <c r="A426" s="1">
        <v>425.22899999999998</v>
      </c>
      <c r="B426" s="1">
        <v>-4.5609999999999999</v>
      </c>
      <c r="D426" s="1">
        <v>425.09800000000001</v>
      </c>
      <c r="E426" s="1">
        <v>0.03</v>
      </c>
      <c r="G426" s="1">
        <v>425.11500000000001</v>
      </c>
      <c r="H426" s="1">
        <v>0.22750000000000001</v>
      </c>
    </row>
    <row r="427" spans="1:8" x14ac:dyDescent="0.2">
      <c r="A427" s="1">
        <v>426.23599999999999</v>
      </c>
      <c r="B427" s="1">
        <v>-4.6360000000000001</v>
      </c>
      <c r="D427" s="1">
        <v>426.10199999999998</v>
      </c>
      <c r="E427" s="1">
        <v>3.3000000000000002E-2</v>
      </c>
      <c r="G427" s="1">
        <v>426.12</v>
      </c>
      <c r="H427" s="1">
        <v>0.22800000000000001</v>
      </c>
    </row>
    <row r="428" spans="1:8" x14ac:dyDescent="0.2">
      <c r="A428" s="1">
        <v>427.245</v>
      </c>
      <c r="B428" s="1">
        <v>-4.6935000000000002</v>
      </c>
      <c r="D428" s="1">
        <v>427.10899999999998</v>
      </c>
      <c r="E428" s="1">
        <v>3.6499999999999998E-2</v>
      </c>
      <c r="G428" s="1">
        <v>427.12400000000002</v>
      </c>
      <c r="H428" s="1">
        <v>0.2235</v>
      </c>
    </row>
    <row r="429" spans="1:8" x14ac:dyDescent="0.2">
      <c r="A429" s="1">
        <v>428.25099999999998</v>
      </c>
      <c r="B429" s="1">
        <v>-4.7640000000000002</v>
      </c>
      <c r="D429" s="1">
        <v>428.11500000000001</v>
      </c>
      <c r="E429" s="1">
        <v>3.6999999999999998E-2</v>
      </c>
      <c r="G429" s="1">
        <v>428.13</v>
      </c>
      <c r="H429" s="1">
        <v>0.22</v>
      </c>
    </row>
    <row r="430" spans="1:8" x14ac:dyDescent="0.2">
      <c r="A430" s="1">
        <v>429.25700000000001</v>
      </c>
      <c r="B430" s="1">
        <v>-4.8289999999999997</v>
      </c>
      <c r="D430" s="1">
        <v>429.12299999999999</v>
      </c>
      <c r="E430" s="1">
        <v>4.0500000000000001E-2</v>
      </c>
      <c r="G430" s="1">
        <v>429.13600000000002</v>
      </c>
      <c r="H430" s="1">
        <v>0.21149999999999999</v>
      </c>
    </row>
    <row r="431" spans="1:8" x14ac:dyDescent="0.2">
      <c r="A431" s="1">
        <v>430.26100000000002</v>
      </c>
      <c r="B431" s="1">
        <v>-4.8860000000000001</v>
      </c>
      <c r="D431" s="1">
        <v>430.12900000000002</v>
      </c>
      <c r="E431" s="1">
        <v>3.6999999999999998E-2</v>
      </c>
      <c r="G431" s="1">
        <v>430.14299999999997</v>
      </c>
      <c r="H431" s="1">
        <v>0.20449999999999999</v>
      </c>
    </row>
    <row r="432" spans="1:8" x14ac:dyDescent="0.2">
      <c r="A432" s="1">
        <v>431.26600000000002</v>
      </c>
      <c r="B432" s="1">
        <v>-4.9385000000000003</v>
      </c>
      <c r="D432" s="1">
        <v>431.13299999999998</v>
      </c>
      <c r="E432" s="1">
        <v>4.3999999999999997E-2</v>
      </c>
      <c r="G432" s="1">
        <v>431.15</v>
      </c>
      <c r="H432" s="1">
        <v>0.19800000000000001</v>
      </c>
    </row>
    <row r="433" spans="1:8" x14ac:dyDescent="0.2">
      <c r="A433" s="1">
        <v>432.27100000000002</v>
      </c>
      <c r="B433" s="1">
        <v>-4.9935</v>
      </c>
      <c r="D433" s="1">
        <v>432.13799999999998</v>
      </c>
      <c r="E433" s="1">
        <v>4.3499999999999997E-2</v>
      </c>
      <c r="G433" s="1">
        <v>432.154</v>
      </c>
      <c r="H433" s="1">
        <v>0.20050000000000001</v>
      </c>
    </row>
    <row r="434" spans="1:8" x14ac:dyDescent="0.2">
      <c r="A434" s="1">
        <v>433.27600000000001</v>
      </c>
      <c r="B434" s="1">
        <v>-5.0495000000000001</v>
      </c>
      <c r="D434" s="1">
        <v>433.142</v>
      </c>
      <c r="E434" s="1">
        <v>4.4999999999999998E-2</v>
      </c>
      <c r="G434" s="1">
        <v>433.15899999999999</v>
      </c>
      <c r="H434" s="1">
        <v>0.1925</v>
      </c>
    </row>
    <row r="435" spans="1:8" x14ac:dyDescent="0.2">
      <c r="A435" s="1">
        <v>434.28</v>
      </c>
      <c r="B435" s="1">
        <v>-5.1325000000000003</v>
      </c>
      <c r="D435" s="1">
        <v>434.149</v>
      </c>
      <c r="E435" s="1">
        <v>5.45E-2</v>
      </c>
      <c r="G435" s="1">
        <v>434.16399999999999</v>
      </c>
      <c r="H435" s="1">
        <v>0.193</v>
      </c>
    </row>
    <row r="436" spans="1:8" x14ac:dyDescent="0.2">
      <c r="A436" s="1">
        <v>435.286</v>
      </c>
      <c r="B436" s="1">
        <v>-5.1970000000000001</v>
      </c>
      <c r="D436" s="1">
        <v>435.154</v>
      </c>
      <c r="E436" s="1">
        <v>5.1499999999999997E-2</v>
      </c>
      <c r="G436" s="1">
        <v>435.17</v>
      </c>
      <c r="H436" s="1">
        <v>0.187</v>
      </c>
    </row>
    <row r="437" spans="1:8" x14ac:dyDescent="0.2">
      <c r="A437" s="1">
        <v>436.29</v>
      </c>
      <c r="B437" s="1">
        <v>-5.2605000000000004</v>
      </c>
      <c r="D437" s="1">
        <v>436.16300000000001</v>
      </c>
      <c r="E437" s="1">
        <v>4.7E-2</v>
      </c>
    </row>
    <row r="438" spans="1:8" x14ac:dyDescent="0.2">
      <c r="A438" s="1">
        <v>437.29399999999998</v>
      </c>
      <c r="B438" s="1">
        <v>-5.3185000000000002</v>
      </c>
      <c r="D438" s="1">
        <v>437.16800000000001</v>
      </c>
      <c r="E438" s="1">
        <v>4.9000000000000002E-2</v>
      </c>
    </row>
    <row r="439" spans="1:8" x14ac:dyDescent="0.2">
      <c r="A439" s="1">
        <v>438.3</v>
      </c>
      <c r="B439" s="1">
        <v>-5.3775000000000004</v>
      </c>
      <c r="D439" s="1">
        <v>438.17700000000002</v>
      </c>
      <c r="E439" s="1">
        <v>5.1499999999999997E-2</v>
      </c>
    </row>
    <row r="440" spans="1:8" x14ac:dyDescent="0.2">
      <c r="A440" s="1">
        <v>439.30700000000002</v>
      </c>
      <c r="B440" s="1">
        <v>-5.4444999999999997</v>
      </c>
      <c r="D440" s="1">
        <v>439.18599999999998</v>
      </c>
      <c r="E440" s="1">
        <v>4.9000000000000002E-2</v>
      </c>
    </row>
    <row r="441" spans="1:8" x14ac:dyDescent="0.2">
      <c r="A441" s="1">
        <v>440.31099999999998</v>
      </c>
      <c r="B441" s="1">
        <v>-5.5140000000000002</v>
      </c>
      <c r="D441" s="1">
        <v>440.19200000000001</v>
      </c>
      <c r="E441" s="1">
        <v>5.1499999999999997E-2</v>
      </c>
    </row>
    <row r="442" spans="1:8" x14ac:dyDescent="0.2">
      <c r="A442" s="1">
        <v>441.31599999999997</v>
      </c>
      <c r="B442" s="1">
        <v>-5.577</v>
      </c>
      <c r="D442" s="1">
        <v>441.20100000000002</v>
      </c>
      <c r="E442" s="1">
        <v>5.8000000000000003E-2</v>
      </c>
    </row>
    <row r="443" spans="1:8" x14ac:dyDescent="0.2">
      <c r="A443" s="1">
        <v>442.32499999999999</v>
      </c>
      <c r="B443" s="1">
        <v>-5.6414999999999997</v>
      </c>
      <c r="D443" s="1">
        <v>442.209</v>
      </c>
      <c r="E443" s="1">
        <v>5.6500000000000002E-2</v>
      </c>
    </row>
    <row r="444" spans="1:8" x14ac:dyDescent="0.2">
      <c r="A444" s="1">
        <v>443.33100000000002</v>
      </c>
      <c r="B444" s="1">
        <v>-5.7050000000000001</v>
      </c>
      <c r="D444" s="1">
        <v>443.21600000000001</v>
      </c>
      <c r="E444" s="1">
        <v>5.7000000000000002E-2</v>
      </c>
    </row>
    <row r="445" spans="1:8" x14ac:dyDescent="0.2">
      <c r="A445" s="1">
        <v>444.33699999999999</v>
      </c>
      <c r="B445" s="1">
        <v>-5.77</v>
      </c>
      <c r="D445" s="1">
        <v>444.22300000000001</v>
      </c>
      <c r="E445" s="1">
        <v>6.1499999999999999E-2</v>
      </c>
    </row>
    <row r="446" spans="1:8" x14ac:dyDescent="0.2">
      <c r="A446" s="1">
        <v>445.34300000000002</v>
      </c>
      <c r="B446" s="1">
        <v>-5.8304999999999998</v>
      </c>
      <c r="D446" s="1">
        <v>445.23</v>
      </c>
      <c r="E446" s="1">
        <v>6.1499999999999999E-2</v>
      </c>
    </row>
    <row r="447" spans="1:8" x14ac:dyDescent="0.2">
      <c r="A447" s="1">
        <v>446.35</v>
      </c>
      <c r="B447" s="1">
        <v>-5.8920000000000003</v>
      </c>
      <c r="D447" s="1">
        <v>446.24</v>
      </c>
      <c r="E447" s="1">
        <v>6.8000000000000005E-2</v>
      </c>
    </row>
    <row r="448" spans="1:8" x14ac:dyDescent="0.2">
      <c r="A448" s="1">
        <v>447.35700000000003</v>
      </c>
      <c r="B448" s="1">
        <v>-5.9485000000000001</v>
      </c>
      <c r="D448" s="1">
        <v>447.245</v>
      </c>
      <c r="E448" s="1">
        <v>6.6000000000000003E-2</v>
      </c>
    </row>
    <row r="449" spans="1:5" x14ac:dyDescent="0.2">
      <c r="A449" s="1">
        <v>448.36099999999999</v>
      </c>
      <c r="B449" s="1">
        <v>-6.0145</v>
      </c>
      <c r="D449" s="1">
        <v>448.24799999999999</v>
      </c>
      <c r="E449" s="1">
        <v>6.4500000000000002E-2</v>
      </c>
    </row>
    <row r="450" spans="1:5" x14ac:dyDescent="0.2">
      <c r="A450" s="1">
        <v>449.36799999999999</v>
      </c>
      <c r="B450" s="1">
        <v>-6.0674999999999999</v>
      </c>
      <c r="D450" s="1">
        <v>449.25299999999999</v>
      </c>
      <c r="E450" s="1">
        <v>7.0499999999999993E-2</v>
      </c>
    </row>
    <row r="451" spans="1:5" x14ac:dyDescent="0.2">
      <c r="A451" s="1">
        <v>450.37200000000001</v>
      </c>
      <c r="B451" s="1">
        <v>-6.1174999999999997</v>
      </c>
      <c r="D451" s="1">
        <v>450.26100000000002</v>
      </c>
      <c r="E451" s="1">
        <v>7.0499999999999993E-2</v>
      </c>
    </row>
    <row r="452" spans="1:5" x14ac:dyDescent="0.2">
      <c r="A452" s="1">
        <v>451.37700000000001</v>
      </c>
      <c r="B452" s="1">
        <v>-6.1764999999999999</v>
      </c>
      <c r="D452" s="1">
        <v>451.26600000000002</v>
      </c>
      <c r="E452" s="1">
        <v>7.5999999999999998E-2</v>
      </c>
    </row>
    <row r="453" spans="1:5" x14ac:dyDescent="0.2">
      <c r="A453" s="1">
        <v>452.38</v>
      </c>
      <c r="B453" s="1">
        <v>-6.2450000000000001</v>
      </c>
      <c r="D453" s="1">
        <v>452.27300000000002</v>
      </c>
      <c r="E453" s="1">
        <v>7.4999999999999997E-2</v>
      </c>
    </row>
    <row r="454" spans="1:5" x14ac:dyDescent="0.2">
      <c r="A454" s="1">
        <v>453.38600000000002</v>
      </c>
      <c r="B454" s="1">
        <v>-6.3040000000000003</v>
      </c>
      <c r="D454" s="1">
        <v>453.27800000000002</v>
      </c>
      <c r="E454" s="1">
        <v>7.4999999999999997E-2</v>
      </c>
    </row>
    <row r="455" spans="1:5" x14ac:dyDescent="0.2">
      <c r="A455" s="1">
        <v>454.392</v>
      </c>
      <c r="B455" s="1">
        <v>-6.3710000000000004</v>
      </c>
      <c r="D455" s="1">
        <v>454.28300000000002</v>
      </c>
      <c r="E455" s="1">
        <v>7.6999999999999999E-2</v>
      </c>
    </row>
    <row r="456" spans="1:5" x14ac:dyDescent="0.2">
      <c r="A456" s="1">
        <v>455.39800000000002</v>
      </c>
      <c r="B456" s="1">
        <v>-6.4355000000000002</v>
      </c>
      <c r="D456" s="1">
        <v>455.28699999999998</v>
      </c>
      <c r="E456" s="1">
        <v>6.8000000000000005E-2</v>
      </c>
    </row>
    <row r="457" spans="1:5" x14ac:dyDescent="0.2">
      <c r="A457" s="1">
        <v>456.40499999999997</v>
      </c>
      <c r="B457" s="1">
        <v>-6.5030000000000001</v>
      </c>
      <c r="D457" s="1">
        <v>456.29199999999997</v>
      </c>
      <c r="E457" s="1">
        <v>7.0000000000000007E-2</v>
      </c>
    </row>
    <row r="458" spans="1:5" x14ac:dyDescent="0.2">
      <c r="A458" s="1">
        <v>457.41300000000001</v>
      </c>
      <c r="B458" s="1">
        <v>-6.5609999999999999</v>
      </c>
      <c r="D458" s="1">
        <v>457.298</v>
      </c>
      <c r="E458" s="1">
        <v>6.7000000000000004E-2</v>
      </c>
    </row>
    <row r="459" spans="1:5" x14ac:dyDescent="0.2">
      <c r="A459" s="1">
        <v>458.42</v>
      </c>
      <c r="B459" s="1">
        <v>-6.6260000000000003</v>
      </c>
      <c r="D459" s="1">
        <v>458.303</v>
      </c>
      <c r="E459" s="1">
        <v>7.0000000000000007E-2</v>
      </c>
    </row>
    <row r="460" spans="1:5" x14ac:dyDescent="0.2">
      <c r="A460" s="1">
        <v>459.42399999999998</v>
      </c>
      <c r="B460" s="1">
        <v>-6.6935000000000002</v>
      </c>
      <c r="D460" s="1">
        <v>459.31099999999998</v>
      </c>
      <c r="E460" s="1">
        <v>7.0499999999999993E-2</v>
      </c>
    </row>
    <row r="461" spans="1:5" x14ac:dyDescent="0.2">
      <c r="A461" s="1">
        <v>460.42899999999997</v>
      </c>
      <c r="B461" s="1">
        <v>-6.7409999999999997</v>
      </c>
      <c r="D461" s="1">
        <v>460.31799999999998</v>
      </c>
      <c r="E461" s="1">
        <v>6.4500000000000002E-2</v>
      </c>
    </row>
    <row r="462" spans="1:5" x14ac:dyDescent="0.2">
      <c r="A462" s="1">
        <v>461.435</v>
      </c>
      <c r="B462" s="1">
        <v>-6.7910000000000004</v>
      </c>
      <c r="D462" s="1">
        <v>461.32299999999998</v>
      </c>
      <c r="E462" s="1">
        <v>6.3500000000000001E-2</v>
      </c>
    </row>
    <row r="463" spans="1:5" x14ac:dyDescent="0.2">
      <c r="A463" s="1">
        <v>462.44200000000001</v>
      </c>
      <c r="B463" s="1">
        <v>-6.8559999999999999</v>
      </c>
      <c r="D463" s="1">
        <v>462.32799999999997</v>
      </c>
      <c r="E463" s="1">
        <v>6.4000000000000001E-2</v>
      </c>
    </row>
    <row r="464" spans="1:5" x14ac:dyDescent="0.2">
      <c r="A464" s="1">
        <v>463.44900000000001</v>
      </c>
      <c r="B464" s="1">
        <v>-6.9260000000000002</v>
      </c>
      <c r="D464" s="1">
        <v>463.33199999999999</v>
      </c>
      <c r="E464" s="1">
        <v>5.3999999999999999E-2</v>
      </c>
    </row>
    <row r="465" spans="1:5" x14ac:dyDescent="0.2">
      <c r="A465" s="1">
        <v>464.45499999999998</v>
      </c>
      <c r="B465" s="1">
        <v>-6.9844999999999997</v>
      </c>
      <c r="D465" s="1">
        <v>464.33699999999999</v>
      </c>
      <c r="E465" s="1">
        <v>5.6000000000000001E-2</v>
      </c>
    </row>
    <row r="466" spans="1:5" x14ac:dyDescent="0.2">
      <c r="A466" s="1">
        <v>465.45699999999999</v>
      </c>
      <c r="B466" s="1">
        <v>-7.0454999999999997</v>
      </c>
      <c r="D466" s="1">
        <v>465.34399999999999</v>
      </c>
      <c r="E466" s="1">
        <v>5.45E-2</v>
      </c>
    </row>
    <row r="467" spans="1:5" x14ac:dyDescent="0.2">
      <c r="A467" s="1">
        <v>466.46300000000002</v>
      </c>
      <c r="B467" s="1">
        <v>-7.1040000000000001</v>
      </c>
      <c r="D467" s="1">
        <v>466.34800000000001</v>
      </c>
      <c r="E467" s="1">
        <v>4.8500000000000001E-2</v>
      </c>
    </row>
    <row r="468" spans="1:5" x14ac:dyDescent="0.2">
      <c r="A468" s="1">
        <v>467.46800000000002</v>
      </c>
      <c r="B468" s="1">
        <v>-7.17</v>
      </c>
    </row>
    <row r="469" spans="1:5" x14ac:dyDescent="0.2">
      <c r="A469" s="1">
        <v>468.47500000000002</v>
      </c>
      <c r="B469" s="1">
        <v>-7.2234999999999996</v>
      </c>
    </row>
    <row r="470" spans="1:5" x14ac:dyDescent="0.2">
      <c r="A470" s="1">
        <v>469.47899999999998</v>
      </c>
      <c r="B470" s="1">
        <v>-7.2785000000000002</v>
      </c>
    </row>
    <row r="471" spans="1:5" x14ac:dyDescent="0.2">
      <c r="A471" s="1">
        <v>470.48500000000001</v>
      </c>
      <c r="B471" s="1">
        <v>-7.3380000000000001</v>
      </c>
    </row>
    <row r="472" spans="1:5" x14ac:dyDescent="0.2">
      <c r="A472" s="1">
        <v>471.49099999999999</v>
      </c>
      <c r="B472" s="1">
        <v>-7.3914999999999997</v>
      </c>
    </row>
    <row r="473" spans="1:5" x14ac:dyDescent="0.2">
      <c r="A473" s="1">
        <v>472.495</v>
      </c>
      <c r="B473" s="1">
        <v>-7.4485000000000001</v>
      </c>
    </row>
    <row r="474" spans="1:5" x14ac:dyDescent="0.2">
      <c r="A474" s="1">
        <v>473.50099999999998</v>
      </c>
      <c r="B474" s="1">
        <v>-7.5049999999999999</v>
      </c>
    </row>
    <row r="475" spans="1:5" x14ac:dyDescent="0.2">
      <c r="A475" s="1">
        <v>474.50599999999997</v>
      </c>
      <c r="B475" s="1">
        <v>-7.5650000000000004</v>
      </c>
    </row>
    <row r="476" spans="1:5" x14ac:dyDescent="0.2">
      <c r="A476" s="1">
        <v>475.512</v>
      </c>
      <c r="B476" s="1">
        <v>-7.5705</v>
      </c>
    </row>
    <row r="477" spans="1:5" x14ac:dyDescent="0.2">
      <c r="A477" s="1">
        <v>476.517</v>
      </c>
      <c r="B477" s="1">
        <v>-5.9939999999999998</v>
      </c>
    </row>
    <row r="478" spans="1:5" x14ac:dyDescent="0.2">
      <c r="A478" s="1">
        <v>477.52499999999998</v>
      </c>
      <c r="B478" s="1">
        <v>-3.7974999999999999</v>
      </c>
    </row>
    <row r="479" spans="1:5" x14ac:dyDescent="0.2">
      <c r="A479" s="1">
        <v>478.536</v>
      </c>
      <c r="B479" s="1">
        <v>-2.4035000000000002</v>
      </c>
    </row>
    <row r="480" spans="1:5" x14ac:dyDescent="0.2">
      <c r="A480" s="1">
        <v>479.54300000000001</v>
      </c>
      <c r="B480" s="1">
        <v>-1.55</v>
      </c>
    </row>
    <row r="481" spans="1:2" x14ac:dyDescent="0.2">
      <c r="A481" s="1">
        <v>480.548</v>
      </c>
      <c r="B481" s="1">
        <v>-1.02</v>
      </c>
    </row>
    <row r="482" spans="1:2" x14ac:dyDescent="0.2">
      <c r="A482" s="1">
        <v>481.55500000000001</v>
      </c>
      <c r="B482" s="1">
        <v>-0.69750000000000001</v>
      </c>
    </row>
    <row r="483" spans="1:2" x14ac:dyDescent="0.2">
      <c r="A483" s="1">
        <v>482.56200000000001</v>
      </c>
      <c r="B483" s="1">
        <v>-0.49349999999999999</v>
      </c>
    </row>
    <row r="484" spans="1:2" x14ac:dyDescent="0.2">
      <c r="A484" s="1">
        <v>483.57</v>
      </c>
      <c r="B484" s="1">
        <v>-0.36399999999999999</v>
      </c>
    </row>
    <row r="485" spans="1:2" x14ac:dyDescent="0.2">
      <c r="A485" s="1">
        <v>484.57799999999997</v>
      </c>
      <c r="B485" s="1">
        <v>-0.28699999999999998</v>
      </c>
    </row>
    <row r="486" spans="1:2" x14ac:dyDescent="0.2">
      <c r="A486" s="1">
        <v>485.584</v>
      </c>
      <c r="B486" s="1">
        <v>-0.22950000000000001</v>
      </c>
    </row>
    <row r="487" spans="1:2" x14ac:dyDescent="0.2">
      <c r="A487" s="1">
        <v>486.589</v>
      </c>
      <c r="B487" s="1">
        <v>-0.189</v>
      </c>
    </row>
    <row r="488" spans="1:2" x14ac:dyDescent="0.2">
      <c r="A488" s="1">
        <v>487.59699999999998</v>
      </c>
      <c r="B488" s="1">
        <v>-0.16300000000000001</v>
      </c>
    </row>
    <row r="489" spans="1:2" x14ac:dyDescent="0.2">
      <c r="A489" s="1">
        <v>488.6</v>
      </c>
      <c r="B489" s="1">
        <v>-0.14050000000000001</v>
      </c>
    </row>
    <row r="490" spans="1:2" x14ac:dyDescent="0.2">
      <c r="A490" s="1">
        <v>489.60500000000002</v>
      </c>
      <c r="B490" s="1">
        <v>-0.123</v>
      </c>
    </row>
    <row r="491" spans="1:2" x14ac:dyDescent="0.2">
      <c r="A491" s="1">
        <v>490.613</v>
      </c>
      <c r="B491" s="1">
        <v>-0.115</v>
      </c>
    </row>
    <row r="492" spans="1:2" x14ac:dyDescent="0.2">
      <c r="A492" s="1">
        <v>491.61900000000003</v>
      </c>
      <c r="B492" s="1">
        <v>-9.6500000000000002E-2</v>
      </c>
    </row>
    <row r="493" spans="1:2" x14ac:dyDescent="0.2">
      <c r="A493" s="1">
        <v>492.62599999999998</v>
      </c>
      <c r="B493" s="1">
        <v>-8.4500000000000006E-2</v>
      </c>
    </row>
    <row r="494" spans="1:2" x14ac:dyDescent="0.2">
      <c r="A494" s="1">
        <v>493.63</v>
      </c>
      <c r="B494" s="1">
        <v>-7.4999999999999997E-2</v>
      </c>
    </row>
    <row r="495" spans="1:2" x14ac:dyDescent="0.2">
      <c r="A495" s="1">
        <v>494.63499999999999</v>
      </c>
      <c r="B495" s="1">
        <v>-6.5000000000000002E-2</v>
      </c>
    </row>
    <row r="496" spans="1:2" x14ac:dyDescent="0.2">
      <c r="A496" s="1">
        <v>495.63900000000001</v>
      </c>
      <c r="B496" s="1">
        <v>-6.0999999999999999E-2</v>
      </c>
    </row>
    <row r="497" spans="1:2" x14ac:dyDescent="0.2">
      <c r="A497" s="1">
        <v>496.64699999999999</v>
      </c>
      <c r="B497" s="1">
        <v>-0.05</v>
      </c>
    </row>
    <row r="498" spans="1:2" x14ac:dyDescent="0.2">
      <c r="A498" s="1">
        <v>497.654</v>
      </c>
      <c r="B498" s="1">
        <v>-3.85E-2</v>
      </c>
    </row>
    <row r="499" spans="1:2" x14ac:dyDescent="0.2">
      <c r="A499" s="1">
        <v>498.661</v>
      </c>
      <c r="B499" s="1">
        <v>-3.2500000000000001E-2</v>
      </c>
    </row>
    <row r="500" spans="1:2" x14ac:dyDescent="0.2">
      <c r="A500" s="1">
        <v>499.666</v>
      </c>
      <c r="B500" s="1">
        <v>-3.1E-2</v>
      </c>
    </row>
    <row r="501" spans="1:2" x14ac:dyDescent="0.2">
      <c r="A501" s="1">
        <v>500.67099999999999</v>
      </c>
      <c r="B501" s="1">
        <v>-1.4999999999999999E-2</v>
      </c>
    </row>
    <row r="502" spans="1:2" x14ac:dyDescent="0.2">
      <c r="A502" s="1">
        <v>501.67500000000001</v>
      </c>
      <c r="B502" s="1">
        <v>-1.0999999999999999E-2</v>
      </c>
    </row>
    <row r="503" spans="1:2" x14ac:dyDescent="0.2">
      <c r="A503" s="1">
        <v>502.68299999999999</v>
      </c>
      <c r="B503" s="1">
        <v>-3.0000000000000001E-3</v>
      </c>
    </row>
    <row r="504" spans="1:2" x14ac:dyDescent="0.2">
      <c r="A504" s="1">
        <v>503.68799999999999</v>
      </c>
      <c r="B504" s="1">
        <v>-1.5E-3</v>
      </c>
    </row>
    <row r="505" spans="1:2" x14ac:dyDescent="0.2">
      <c r="A505" s="1">
        <v>504.69600000000003</v>
      </c>
      <c r="B505" s="1">
        <v>-1E-3</v>
      </c>
    </row>
    <row r="506" spans="1:2" x14ac:dyDescent="0.2">
      <c r="A506" s="1">
        <v>505.70299999999997</v>
      </c>
      <c r="B506" s="1">
        <v>1.5E-3</v>
      </c>
    </row>
    <row r="507" spans="1:2" x14ac:dyDescent="0.2">
      <c r="A507" s="1">
        <v>506.71</v>
      </c>
      <c r="B507" s="1">
        <v>1E-3</v>
      </c>
    </row>
    <row r="508" spans="1:2" x14ac:dyDescent="0.2">
      <c r="A508" s="1">
        <v>507.71499999999997</v>
      </c>
      <c r="B508" s="1">
        <v>2E-3</v>
      </c>
    </row>
    <row r="509" spans="1:2" x14ac:dyDescent="0.2">
      <c r="A509" s="1">
        <v>508.72</v>
      </c>
      <c r="B509" s="1">
        <v>5.0000000000000001E-3</v>
      </c>
    </row>
    <row r="510" spans="1:2" x14ac:dyDescent="0.2">
      <c r="A510" s="1">
        <v>509.726</v>
      </c>
      <c r="B510" s="1">
        <v>0</v>
      </c>
    </row>
    <row r="511" spans="1:2" x14ac:dyDescent="0.2">
      <c r="A511" s="1">
        <v>510.73</v>
      </c>
      <c r="B511" s="1">
        <v>-1E-3</v>
      </c>
    </row>
    <row r="512" spans="1:2" x14ac:dyDescent="0.2">
      <c r="A512" s="1">
        <v>511.73500000000001</v>
      </c>
      <c r="B512" s="1">
        <v>3.5000000000000001E-3</v>
      </c>
    </row>
    <row r="513" spans="1:2" x14ac:dyDescent="0.2">
      <c r="A513" s="1">
        <v>512.74</v>
      </c>
      <c r="B513" s="1">
        <v>7.0000000000000001E-3</v>
      </c>
    </row>
    <row r="514" spans="1:2" x14ac:dyDescent="0.2">
      <c r="A514" s="1">
        <v>513.745</v>
      </c>
      <c r="B514" s="1">
        <v>1.15E-2</v>
      </c>
    </row>
    <row r="515" spans="1:2" x14ac:dyDescent="0.2">
      <c r="A515" s="1">
        <v>514.74900000000002</v>
      </c>
      <c r="B515" s="1">
        <v>1.7999999999999999E-2</v>
      </c>
    </row>
    <row r="516" spans="1:2" x14ac:dyDescent="0.2">
      <c r="A516" s="1">
        <v>515.755</v>
      </c>
      <c r="B516" s="1">
        <v>2.1499999999999998E-2</v>
      </c>
    </row>
    <row r="517" spans="1:2" x14ac:dyDescent="0.2">
      <c r="A517" s="1">
        <v>516.76</v>
      </c>
      <c r="B517" s="1">
        <v>2.5999999999999999E-2</v>
      </c>
    </row>
    <row r="518" spans="1:2" x14ac:dyDescent="0.2">
      <c r="A518" s="1">
        <v>517.76499999999999</v>
      </c>
      <c r="B518" s="1">
        <v>2.5999999999999999E-2</v>
      </c>
    </row>
    <row r="519" spans="1:2" x14ac:dyDescent="0.2">
      <c r="A519" s="1">
        <v>518.76800000000003</v>
      </c>
      <c r="B519" s="1">
        <v>3.0499999999999999E-2</v>
      </c>
    </row>
    <row r="520" spans="1:2" x14ac:dyDescent="0.2">
      <c r="A520" s="1">
        <v>519.774</v>
      </c>
      <c r="B520" s="1">
        <v>3.2000000000000001E-2</v>
      </c>
    </row>
    <row r="521" spans="1:2" x14ac:dyDescent="0.2">
      <c r="A521" s="1">
        <v>520.78099999999995</v>
      </c>
      <c r="B521" s="1">
        <v>3.0499999999999999E-2</v>
      </c>
    </row>
    <row r="522" spans="1:2" x14ac:dyDescent="0.2">
      <c r="A522" s="1">
        <v>521.78800000000001</v>
      </c>
      <c r="B522" s="1">
        <v>3.3000000000000002E-2</v>
      </c>
    </row>
    <row r="523" spans="1:2" x14ac:dyDescent="0.2">
      <c r="A523" s="1">
        <v>522.79200000000003</v>
      </c>
      <c r="B523" s="1">
        <v>3.3500000000000002E-2</v>
      </c>
    </row>
    <row r="524" spans="1:2" x14ac:dyDescent="0.2">
      <c r="A524" s="1">
        <v>523.79700000000003</v>
      </c>
      <c r="B524" s="1">
        <v>3.5999999999999997E-2</v>
      </c>
    </row>
    <row r="525" spans="1:2" x14ac:dyDescent="0.2">
      <c r="A525" s="1">
        <v>524.80499999999995</v>
      </c>
      <c r="B525" s="1">
        <v>3.5000000000000003E-2</v>
      </c>
    </row>
    <row r="526" spans="1:2" x14ac:dyDescent="0.2">
      <c r="A526" s="1">
        <v>525.80899999999997</v>
      </c>
      <c r="B526" s="1">
        <v>3.2500000000000001E-2</v>
      </c>
    </row>
    <row r="527" spans="1:2" x14ac:dyDescent="0.2">
      <c r="A527" s="1">
        <v>526.81600000000003</v>
      </c>
      <c r="B527" s="1">
        <v>3.95E-2</v>
      </c>
    </row>
    <row r="528" spans="1:2" x14ac:dyDescent="0.2">
      <c r="A528" s="1">
        <v>527.82000000000005</v>
      </c>
      <c r="B528" s="1">
        <v>3.7999999999999999E-2</v>
      </c>
    </row>
    <row r="529" spans="1:2" x14ac:dyDescent="0.2">
      <c r="A529" s="1">
        <v>528.82600000000002</v>
      </c>
      <c r="B529" s="1">
        <v>3.7499999999999999E-2</v>
      </c>
    </row>
    <row r="530" spans="1:2" x14ac:dyDescent="0.2">
      <c r="A530" s="1">
        <v>529.83100000000002</v>
      </c>
      <c r="B530" s="1">
        <v>4.4499999999999998E-2</v>
      </c>
    </row>
    <row r="531" spans="1:2" x14ac:dyDescent="0.2">
      <c r="A531" s="1">
        <v>530.83699999999999</v>
      </c>
      <c r="B531" s="1">
        <v>3.6499999999999998E-2</v>
      </c>
    </row>
    <row r="532" spans="1:2" x14ac:dyDescent="0.2">
      <c r="A532" s="1">
        <v>531.84400000000005</v>
      </c>
      <c r="B532" s="1">
        <v>3.85E-2</v>
      </c>
    </row>
    <row r="533" spans="1:2" x14ac:dyDescent="0.2">
      <c r="A533" s="1">
        <v>532.85299999999995</v>
      </c>
      <c r="B533" s="1">
        <v>3.7999999999999999E-2</v>
      </c>
    </row>
    <row r="534" spans="1:2" x14ac:dyDescent="0.2">
      <c r="A534" s="1">
        <v>533.86199999999997</v>
      </c>
      <c r="B534" s="1">
        <v>4.5499999999999999E-2</v>
      </c>
    </row>
    <row r="535" spans="1:2" x14ac:dyDescent="0.2">
      <c r="A535" s="1">
        <v>534.86900000000003</v>
      </c>
      <c r="B535" s="1">
        <v>4.3999999999999997E-2</v>
      </c>
    </row>
    <row r="536" spans="1:2" x14ac:dyDescent="0.2">
      <c r="A536" s="1">
        <v>535.87699999999995</v>
      </c>
      <c r="B536" s="1">
        <v>4.2500000000000003E-2</v>
      </c>
    </row>
    <row r="537" spans="1:2" x14ac:dyDescent="0.2">
      <c r="A537" s="1">
        <v>536.88499999999999</v>
      </c>
      <c r="B537" s="1">
        <v>4.3999999999999997E-2</v>
      </c>
    </row>
    <row r="538" spans="1:2" x14ac:dyDescent="0.2">
      <c r="A538" s="1">
        <v>537.89400000000001</v>
      </c>
      <c r="B538" s="1">
        <v>5.1999999999999998E-2</v>
      </c>
    </row>
    <row r="539" spans="1:2" x14ac:dyDescent="0.2">
      <c r="A539" s="1">
        <v>538.90099999999995</v>
      </c>
      <c r="B539" s="1">
        <v>5.2499999999999998E-2</v>
      </c>
    </row>
    <row r="540" spans="1:2" x14ac:dyDescent="0.2">
      <c r="A540" s="1">
        <v>539.90599999999995</v>
      </c>
      <c r="B540" s="1">
        <v>5.3999999999999999E-2</v>
      </c>
    </row>
    <row r="541" spans="1:2" x14ac:dyDescent="0.2">
      <c r="A541" s="1">
        <v>540.91200000000003</v>
      </c>
      <c r="B541" s="1">
        <v>5.7000000000000002E-2</v>
      </c>
    </row>
    <row r="542" spans="1:2" x14ac:dyDescent="0.2">
      <c r="A542" s="1">
        <v>541.91999999999996</v>
      </c>
      <c r="B542" s="1">
        <v>5.6000000000000001E-2</v>
      </c>
    </row>
    <row r="543" spans="1:2" x14ac:dyDescent="0.2">
      <c r="A543" s="1">
        <v>542.92499999999995</v>
      </c>
      <c r="B543" s="1">
        <v>5.3499999999999999E-2</v>
      </c>
    </row>
    <row r="544" spans="1:2" x14ac:dyDescent="0.2">
      <c r="A544" s="1">
        <v>543.93100000000004</v>
      </c>
      <c r="B544" s="1">
        <v>5.8500000000000003E-2</v>
      </c>
    </row>
    <row r="545" spans="1:2" x14ac:dyDescent="0.2">
      <c r="A545" s="1">
        <v>544.93700000000001</v>
      </c>
      <c r="B545" s="1">
        <v>0.06</v>
      </c>
    </row>
    <row r="546" spans="1:2" x14ac:dyDescent="0.2">
      <c r="A546" s="1">
        <v>545.94100000000003</v>
      </c>
      <c r="B546" s="1">
        <v>5.7000000000000002E-2</v>
      </c>
    </row>
    <row r="547" spans="1:2" x14ac:dyDescent="0.2">
      <c r="A547" s="1">
        <v>546.94600000000003</v>
      </c>
      <c r="B547" s="1">
        <v>5.9499999999999997E-2</v>
      </c>
    </row>
    <row r="548" spans="1:2" x14ac:dyDescent="0.2">
      <c r="A548" s="1">
        <v>547.95000000000005</v>
      </c>
      <c r="B548" s="1">
        <v>5.2499999999999998E-2</v>
      </c>
    </row>
    <row r="549" spans="1:2" x14ac:dyDescent="0.2">
      <c r="A549" s="1">
        <v>548.95600000000002</v>
      </c>
      <c r="B549" s="1">
        <v>5.6500000000000002E-2</v>
      </c>
    </row>
    <row r="550" spans="1:2" x14ac:dyDescent="0.2">
      <c r="A550" s="1">
        <v>549.95899999999995</v>
      </c>
      <c r="B550" s="1">
        <v>5.7000000000000002E-2</v>
      </c>
    </row>
    <row r="551" spans="1:2" x14ac:dyDescent="0.2">
      <c r="A551" s="1">
        <v>550.96600000000001</v>
      </c>
      <c r="B551" s="1">
        <v>5.7000000000000002E-2</v>
      </c>
    </row>
    <row r="552" spans="1:2" x14ac:dyDescent="0.2">
      <c r="A552" s="1">
        <v>551.97299999999996</v>
      </c>
      <c r="B552" s="1">
        <v>6.2E-2</v>
      </c>
    </row>
    <row r="553" spans="1:2" x14ac:dyDescent="0.2">
      <c r="A553" s="1">
        <v>552.98</v>
      </c>
      <c r="B553" s="1">
        <v>6.2E-2</v>
      </c>
    </row>
    <row r="554" spans="1:2" x14ac:dyDescent="0.2">
      <c r="A554" s="1">
        <v>553.98800000000006</v>
      </c>
      <c r="B554" s="1">
        <v>6.8000000000000005E-2</v>
      </c>
    </row>
    <row r="555" spans="1:2" x14ac:dyDescent="0.2">
      <c r="A555" s="1">
        <v>554.99199999999996</v>
      </c>
      <c r="B555" s="1">
        <v>6.2E-2</v>
      </c>
    </row>
    <row r="556" spans="1:2" x14ac:dyDescent="0.2">
      <c r="A556" s="1">
        <v>555.99599999999998</v>
      </c>
      <c r="B556" s="1">
        <v>5.9499999999999997E-2</v>
      </c>
    </row>
    <row r="557" spans="1:2" x14ac:dyDescent="0.2">
      <c r="A557" s="1">
        <v>557.00199999999995</v>
      </c>
      <c r="B557" s="1">
        <v>5.8500000000000003E-2</v>
      </c>
    </row>
    <row r="558" spans="1:2" x14ac:dyDescent="0.2">
      <c r="A558" s="1">
        <v>558.00699999999995</v>
      </c>
      <c r="B558" s="1">
        <v>4.9500000000000002E-2</v>
      </c>
    </row>
    <row r="559" spans="1:2" x14ac:dyDescent="0.2">
      <c r="A559" s="1">
        <v>559.01300000000003</v>
      </c>
      <c r="B559" s="1">
        <v>4.9000000000000002E-2</v>
      </c>
    </row>
    <row r="560" spans="1:2" x14ac:dyDescent="0.2">
      <c r="A560" s="1">
        <v>560.02</v>
      </c>
      <c r="B560" s="1">
        <v>3.85E-2</v>
      </c>
    </row>
    <row r="561" spans="1:2" x14ac:dyDescent="0.2">
      <c r="A561" s="1">
        <v>561.02499999999998</v>
      </c>
      <c r="B561" s="1">
        <v>4.8000000000000001E-2</v>
      </c>
    </row>
    <row r="562" spans="1:2" x14ac:dyDescent="0.2">
      <c r="A562" s="1">
        <v>562.03099999999995</v>
      </c>
      <c r="B562" s="1">
        <v>4.7E-2</v>
      </c>
    </row>
    <row r="563" spans="1:2" x14ac:dyDescent="0.2">
      <c r="A563" s="1">
        <v>563.04</v>
      </c>
      <c r="B563" s="1">
        <v>3.95E-2</v>
      </c>
    </row>
    <row r="564" spans="1:2" x14ac:dyDescent="0.2">
      <c r="A564" s="1">
        <v>564.04600000000005</v>
      </c>
      <c r="B564" s="1">
        <v>4.3999999999999997E-2</v>
      </c>
    </row>
    <row r="565" spans="1:2" x14ac:dyDescent="0.2">
      <c r="A565" s="1">
        <v>565.05100000000004</v>
      </c>
      <c r="B565" s="1">
        <v>4.4999999999999998E-2</v>
      </c>
    </row>
    <row r="566" spans="1:2" x14ac:dyDescent="0.2">
      <c r="A566" s="1">
        <v>566.05600000000004</v>
      </c>
      <c r="B566" s="1">
        <v>4.4499999999999998E-2</v>
      </c>
    </row>
    <row r="567" spans="1:2" x14ac:dyDescent="0.2">
      <c r="A567" s="1">
        <v>567.06100000000004</v>
      </c>
      <c r="B567" s="1">
        <v>4.5499999999999999E-2</v>
      </c>
    </row>
    <row r="568" spans="1:2" x14ac:dyDescent="0.2">
      <c r="A568" s="1">
        <v>568.06500000000005</v>
      </c>
      <c r="B568" s="1">
        <v>4.9500000000000002E-2</v>
      </c>
    </row>
    <row r="569" spans="1:2" x14ac:dyDescent="0.2">
      <c r="A569" s="1">
        <v>569.07000000000005</v>
      </c>
      <c r="B569" s="1">
        <v>4.5999999999999999E-2</v>
      </c>
    </row>
    <row r="570" spans="1:2" x14ac:dyDescent="0.2">
      <c r="A570" s="1">
        <v>570.07500000000005</v>
      </c>
      <c r="B570" s="1">
        <v>4.9000000000000002E-2</v>
      </c>
    </row>
    <row r="571" spans="1:2" x14ac:dyDescent="0.2">
      <c r="A571" s="1">
        <v>571.08299999999997</v>
      </c>
      <c r="B571" s="1">
        <v>5.0999999999999997E-2</v>
      </c>
    </row>
    <row r="572" spans="1:2" x14ac:dyDescent="0.2">
      <c r="A572" s="1">
        <v>572.09</v>
      </c>
      <c r="B572" s="1">
        <v>4.9500000000000002E-2</v>
      </c>
    </row>
    <row r="573" spans="1:2" x14ac:dyDescent="0.2">
      <c r="A573" s="1">
        <v>573.09500000000003</v>
      </c>
      <c r="B573" s="1">
        <v>5.3999999999999999E-2</v>
      </c>
    </row>
    <row r="574" spans="1:2" x14ac:dyDescent="0.2">
      <c r="A574" s="1">
        <v>574.10199999999998</v>
      </c>
      <c r="B574" s="1">
        <v>5.45E-2</v>
      </c>
    </row>
    <row r="575" spans="1:2" x14ac:dyDescent="0.2">
      <c r="A575" s="1">
        <v>575.10699999999997</v>
      </c>
      <c r="B575" s="1">
        <v>5.3499999999999999E-2</v>
      </c>
    </row>
    <row r="576" spans="1:2" x14ac:dyDescent="0.2">
      <c r="A576" s="1">
        <v>576.11300000000006</v>
      </c>
      <c r="B576" s="1">
        <v>5.5E-2</v>
      </c>
    </row>
    <row r="577" spans="1:2" x14ac:dyDescent="0.2">
      <c r="A577" s="1">
        <v>577.12</v>
      </c>
      <c r="B577" s="1">
        <v>5.0500000000000003E-2</v>
      </c>
    </row>
    <row r="578" spans="1:2" x14ac:dyDescent="0.2">
      <c r="A578" s="1">
        <v>578.12900000000002</v>
      </c>
      <c r="B578" s="1">
        <v>5.0500000000000003E-2</v>
      </c>
    </row>
    <row r="579" spans="1:2" x14ac:dyDescent="0.2">
      <c r="A579" s="1">
        <v>579.13599999999997</v>
      </c>
      <c r="B579" s="1">
        <v>4.4999999999999998E-2</v>
      </c>
    </row>
    <row r="580" spans="1:2" x14ac:dyDescent="0.2">
      <c r="A580" s="1">
        <v>580.13900000000001</v>
      </c>
      <c r="B580" s="1">
        <v>4.4999999999999998E-2</v>
      </c>
    </row>
    <row r="581" spans="1:2" x14ac:dyDescent="0.2">
      <c r="A581" s="1">
        <v>581.14599999999996</v>
      </c>
      <c r="B581" s="1">
        <v>5.0999999999999997E-2</v>
      </c>
    </row>
    <row r="582" spans="1:2" x14ac:dyDescent="0.2">
      <c r="A582" s="1">
        <v>582.15300000000002</v>
      </c>
      <c r="B582" s="1">
        <v>5.3999999999999999E-2</v>
      </c>
    </row>
    <row r="583" spans="1:2" x14ac:dyDescent="0.2">
      <c r="A583" s="1">
        <v>583.16099999999994</v>
      </c>
      <c r="B583" s="1">
        <v>5.1999999999999998E-2</v>
      </c>
    </row>
    <row r="584" spans="1:2" x14ac:dyDescent="0.2">
      <c r="A584" s="1">
        <v>584.16600000000005</v>
      </c>
      <c r="B584" s="1">
        <v>5.7000000000000002E-2</v>
      </c>
    </row>
    <row r="585" spans="1:2" x14ac:dyDescent="0.2">
      <c r="A585" s="1">
        <v>585.16999999999996</v>
      </c>
      <c r="B585" s="1">
        <v>5.0500000000000003E-2</v>
      </c>
    </row>
    <row r="586" spans="1:2" x14ac:dyDescent="0.2">
      <c r="A586" s="1">
        <v>586.17499999999995</v>
      </c>
      <c r="B586" s="1">
        <v>4.7E-2</v>
      </c>
    </row>
    <row r="587" spans="1:2" x14ac:dyDescent="0.2">
      <c r="A587" s="1">
        <v>587.17999999999995</v>
      </c>
      <c r="B587" s="1">
        <v>4.7500000000000001E-2</v>
      </c>
    </row>
    <row r="588" spans="1:2" x14ac:dyDescent="0.2">
      <c r="A588" s="1">
        <v>588.18499999999995</v>
      </c>
      <c r="B588" s="1">
        <v>4.3999999999999997E-2</v>
      </c>
    </row>
    <row r="589" spans="1:2" x14ac:dyDescent="0.2">
      <c r="A589" s="1">
        <v>589.19399999999996</v>
      </c>
      <c r="B589" s="1">
        <v>4.9000000000000002E-2</v>
      </c>
    </row>
    <row r="590" spans="1:2" x14ac:dyDescent="0.2">
      <c r="A590" s="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E8E8-7BB5-E84A-B031-EDB4D0E713E7}">
  <dimension ref="A1:BG150"/>
  <sheetViews>
    <sheetView tabSelected="1" topLeftCell="AJ1" zoomScaleNormal="200" workbookViewId="0">
      <selection activeCell="AO29" sqref="AO29"/>
    </sheetView>
  </sheetViews>
  <sheetFormatPr baseColWidth="10" defaultRowHeight="16" x14ac:dyDescent="0.2"/>
  <cols>
    <col min="31" max="31" width="13.5" customWidth="1"/>
    <col min="32" max="32" width="16.33203125" customWidth="1"/>
    <col min="33" max="33" width="22.33203125" customWidth="1"/>
    <col min="34" max="34" width="24" customWidth="1"/>
    <col min="35" max="35" width="18.33203125" customWidth="1"/>
    <col min="36" max="36" width="13.5" customWidth="1"/>
    <col min="37" max="37" width="11" customWidth="1"/>
    <col min="38" max="38" width="16" customWidth="1"/>
    <col min="39" max="39" width="4.33203125" customWidth="1"/>
    <col min="40" max="40" width="15.33203125" customWidth="1"/>
    <col min="41" max="41" width="28.83203125" customWidth="1"/>
    <col min="42" max="42" width="25.83203125" customWidth="1"/>
    <col min="43" max="43" width="17.33203125" customWidth="1"/>
    <col min="44" max="44" width="13.83203125" customWidth="1"/>
    <col min="46" max="46" width="11.33203125" customWidth="1"/>
    <col min="47" max="47" width="4.5" customWidth="1"/>
    <col min="49" max="49" width="7.83203125" customWidth="1"/>
    <col min="50" max="50" width="29.1640625" customWidth="1"/>
    <col min="51" max="51" width="18.6640625" customWidth="1"/>
    <col min="52" max="52" width="13.83203125" customWidth="1"/>
    <col min="56" max="56" width="16" customWidth="1"/>
    <col min="57" max="57" width="42.83203125" customWidth="1"/>
  </cols>
  <sheetData>
    <row r="1" spans="1:59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</row>
    <row r="2" spans="1:59" x14ac:dyDescent="0.2">
      <c r="A2" s="5"/>
      <c r="AD2" s="6"/>
    </row>
    <row r="3" spans="1:59" x14ac:dyDescent="0.2">
      <c r="A3" s="5"/>
      <c r="AE3" s="56" t="s">
        <v>9</v>
      </c>
      <c r="AF3" s="56"/>
      <c r="AG3" s="56"/>
      <c r="AH3" s="56"/>
      <c r="AI3" s="56"/>
      <c r="AJ3" s="56"/>
    </row>
    <row r="4" spans="1:59" x14ac:dyDescent="0.2">
      <c r="A4" s="5"/>
    </row>
    <row r="5" spans="1:59" x14ac:dyDescent="0.2">
      <c r="A5" s="5"/>
      <c r="AF5" s="11" t="s">
        <v>12</v>
      </c>
      <c r="AG5" s="11" t="s">
        <v>10</v>
      </c>
    </row>
    <row r="6" spans="1:59" x14ac:dyDescent="0.2">
      <c r="A6" s="5"/>
      <c r="AF6" s="11" t="s">
        <v>13</v>
      </c>
      <c r="AG6" s="11">
        <v>0.02</v>
      </c>
    </row>
    <row r="7" spans="1:59" x14ac:dyDescent="0.2">
      <c r="A7" s="5"/>
      <c r="AF7" s="11" t="s">
        <v>14</v>
      </c>
      <c r="AG7" s="11">
        <v>-0.09</v>
      </c>
    </row>
    <row r="8" spans="1:59" x14ac:dyDescent="0.2">
      <c r="A8" s="5"/>
      <c r="AF8" s="11" t="s">
        <v>15</v>
      </c>
      <c r="AG8" s="11">
        <v>0.15</v>
      </c>
    </row>
    <row r="9" spans="1:59" x14ac:dyDescent="0.2">
      <c r="A9" s="5"/>
      <c r="AF9" s="11" t="s">
        <v>11</v>
      </c>
      <c r="AG9" s="12">
        <f>AVERAGE(AG6:AG8)</f>
        <v>2.6666666666666668E-2</v>
      </c>
    </row>
    <row r="10" spans="1:59" x14ac:dyDescent="0.2">
      <c r="A10" s="5"/>
    </row>
    <row r="11" spans="1:59" x14ac:dyDescent="0.2">
      <c r="A11" s="5"/>
      <c r="AD11" s="6"/>
      <c r="AE11" s="5"/>
      <c r="AJ11" s="6"/>
    </row>
    <row r="12" spans="1:59" x14ac:dyDescent="0.2">
      <c r="A12" s="5"/>
      <c r="AD12" s="6"/>
      <c r="AE12" s="5"/>
      <c r="AJ12" s="6"/>
    </row>
    <row r="13" spans="1:59" x14ac:dyDescent="0.2">
      <c r="A13" s="5"/>
      <c r="AE13" s="56" t="s">
        <v>16</v>
      </c>
      <c r="AF13" s="56"/>
      <c r="AG13" s="56"/>
      <c r="AH13" s="56"/>
      <c r="AI13" s="56"/>
      <c r="AJ13" s="56"/>
      <c r="AM13" s="56" t="s">
        <v>31</v>
      </c>
      <c r="AN13" s="56"/>
      <c r="AO13" s="56"/>
      <c r="AP13" s="56"/>
      <c r="AQ13" s="56"/>
      <c r="AR13" s="56"/>
      <c r="AS13" s="56"/>
      <c r="AT13" s="56"/>
      <c r="AW13" s="56" t="s">
        <v>37</v>
      </c>
      <c r="AX13" s="56"/>
      <c r="AY13" s="56"/>
      <c r="AZ13" s="56"/>
      <c r="BA13" s="56"/>
      <c r="BC13" s="56" t="s">
        <v>37</v>
      </c>
      <c r="BD13" s="56"/>
      <c r="BE13" s="56"/>
      <c r="BF13" s="56"/>
      <c r="BG13" s="56"/>
    </row>
    <row r="14" spans="1:59" x14ac:dyDescent="0.2">
      <c r="A14" s="5"/>
    </row>
    <row r="15" spans="1:59" x14ac:dyDescent="0.2">
      <c r="A15" s="5"/>
      <c r="AF15" s="29" t="s">
        <v>57</v>
      </c>
      <c r="AG15" s="11" t="s">
        <v>29</v>
      </c>
      <c r="AH15" s="11" t="s">
        <v>30</v>
      </c>
      <c r="AI15" s="11"/>
      <c r="AJ15" s="11" t="s">
        <v>58</v>
      </c>
      <c r="AN15" s="13" t="s">
        <v>12</v>
      </c>
      <c r="AO15" s="13" t="s">
        <v>32</v>
      </c>
      <c r="AP15" s="13" t="s">
        <v>33</v>
      </c>
      <c r="AQ15" s="13" t="s">
        <v>34</v>
      </c>
      <c r="AR15" s="13" t="s">
        <v>40</v>
      </c>
      <c r="AS15" s="13" t="s">
        <v>41</v>
      </c>
      <c r="AX15" s="13" t="s">
        <v>39</v>
      </c>
      <c r="AY15" s="13" t="s">
        <v>47</v>
      </c>
      <c r="AZ15" s="13" t="s">
        <v>48</v>
      </c>
      <c r="BA15" s="13" t="s">
        <v>38</v>
      </c>
      <c r="BD15" s="13" t="s">
        <v>39</v>
      </c>
      <c r="BE15" s="13" t="s">
        <v>47</v>
      </c>
      <c r="BF15" s="13" t="s">
        <v>48</v>
      </c>
      <c r="BG15" s="13" t="s">
        <v>38</v>
      </c>
    </row>
    <row r="16" spans="1:59" x14ac:dyDescent="0.2">
      <c r="A16" s="5"/>
      <c r="AF16" s="11" t="s">
        <v>0</v>
      </c>
      <c r="AG16" s="11">
        <v>20.131699999999999</v>
      </c>
      <c r="AH16" s="11">
        <v>0</v>
      </c>
      <c r="AI16" s="11">
        <v>0</v>
      </c>
      <c r="AJ16" s="11">
        <v>0</v>
      </c>
      <c r="AN16" s="14" t="s">
        <v>13</v>
      </c>
      <c r="AO16" s="14">
        <v>0.02</v>
      </c>
      <c r="AP16" s="42">
        <f>AO16-$AG$9</f>
        <v>-6.666666666666668E-3</v>
      </c>
      <c r="AQ16" s="14">
        <f>$AH$16/$AG$16</f>
        <v>0</v>
      </c>
      <c r="AR16" s="47">
        <f>$AG$9-AO16</f>
        <v>6.666666666666668E-3</v>
      </c>
      <c r="AS16" s="34">
        <f>AP16+273.15</f>
        <v>273.14333333333332</v>
      </c>
      <c r="AU16" s="14"/>
      <c r="AV16" t="s">
        <v>0</v>
      </c>
      <c r="AX16" s="14" t="s">
        <v>0</v>
      </c>
      <c r="AY16" s="19">
        <f>$AG$16/$AG$22</f>
        <v>1.1174791621334776</v>
      </c>
      <c r="AZ16" s="19">
        <f>AH16/108.94</f>
        <v>0</v>
      </c>
      <c r="BA16" s="19">
        <f>AY16/(AZ16+AY16)</f>
        <v>1</v>
      </c>
      <c r="BD16" s="14" t="s">
        <v>0</v>
      </c>
      <c r="BE16" s="19">
        <f>$AG$16/$AG$22</f>
        <v>1.1174791621334776</v>
      </c>
      <c r="BF16" s="19">
        <v>0</v>
      </c>
      <c r="BG16" s="19">
        <v>1</v>
      </c>
    </row>
    <row r="17" spans="1:59" x14ac:dyDescent="0.2">
      <c r="A17" s="5"/>
      <c r="AF17" s="11" t="s">
        <v>5</v>
      </c>
      <c r="AG17" s="11">
        <v>20.131699999999999</v>
      </c>
      <c r="AH17" s="11">
        <f>AH16+AI17</f>
        <v>0.50900000000000001</v>
      </c>
      <c r="AI17" s="11">
        <v>0.50900000000000001</v>
      </c>
      <c r="AJ17" s="41">
        <f>(AH17/AG17)*100</f>
        <v>2.5283508099166987</v>
      </c>
      <c r="AN17" s="14" t="s">
        <v>14</v>
      </c>
      <c r="AO17" s="14">
        <v>-0.09</v>
      </c>
      <c r="AP17" s="42">
        <f t="shared" ref="AP17:AP30" si="0">AO17-$AG$9</f>
        <v>-0.11666666666666667</v>
      </c>
      <c r="AQ17" s="14">
        <f t="shared" ref="AQ17:AQ18" si="1">$AH$16/$AG$16</f>
        <v>0</v>
      </c>
      <c r="AR17" s="47">
        <f t="shared" ref="AR17:AR30" si="2">$AG$9-AO17</f>
        <v>0.11666666666666667</v>
      </c>
      <c r="AS17" s="34">
        <f t="shared" ref="AS17:AS30" si="3">AP17+273.15</f>
        <v>273.0333333333333</v>
      </c>
      <c r="AU17" s="15"/>
      <c r="AV17" t="s">
        <v>5</v>
      </c>
      <c r="AX17" s="14" t="s">
        <v>0</v>
      </c>
      <c r="AY17" s="19">
        <f t="shared" ref="AY17:AY30" si="4">$AG$16/$AG$22</f>
        <v>1.1174791621334776</v>
      </c>
      <c r="AZ17" s="19">
        <f>AH16/108.94</f>
        <v>0</v>
      </c>
      <c r="BA17" s="19">
        <f>AY17/(AZ17+AY17)</f>
        <v>1</v>
      </c>
      <c r="BD17" s="15" t="s">
        <v>5</v>
      </c>
      <c r="BE17" s="20">
        <f t="shared" ref="BE17:BE20" si="5">$AG$16/$AG$22</f>
        <v>1.1174791621334776</v>
      </c>
      <c r="BF17" s="52">
        <f>$AH$17/108.94</f>
        <v>4.6722966770699472E-3</v>
      </c>
      <c r="BG17" s="20">
        <f>BE17/(BF17+BE17)</f>
        <v>0.99583630476939133</v>
      </c>
    </row>
    <row r="18" spans="1:59" x14ac:dyDescent="0.2">
      <c r="A18" s="5"/>
      <c r="AF18" s="11" t="s">
        <v>35</v>
      </c>
      <c r="AG18" s="11">
        <v>20.131699999999999</v>
      </c>
      <c r="AH18" s="11">
        <f>AH17+AI18</f>
        <v>1.0114000000000001</v>
      </c>
      <c r="AI18" s="11">
        <v>0.50239999999999996</v>
      </c>
      <c r="AJ18" s="41">
        <f t="shared" ref="AJ18:AJ20" si="6">(AH18/AG18)*100</f>
        <v>5.023917503241158</v>
      </c>
      <c r="AN18" s="14" t="s">
        <v>15</v>
      </c>
      <c r="AO18" s="14">
        <v>0.15</v>
      </c>
      <c r="AP18" s="42">
        <f t="shared" si="0"/>
        <v>0.12333333333333332</v>
      </c>
      <c r="AQ18" s="14">
        <f t="shared" si="1"/>
        <v>0</v>
      </c>
      <c r="AR18" s="47">
        <f t="shared" si="2"/>
        <v>-0.12333333333333332</v>
      </c>
      <c r="AS18" s="34">
        <f t="shared" si="3"/>
        <v>273.27333333333331</v>
      </c>
      <c r="AU18" s="16"/>
      <c r="AV18" t="s">
        <v>35</v>
      </c>
      <c r="AX18" s="14" t="s">
        <v>0</v>
      </c>
      <c r="AY18" s="19">
        <f t="shared" si="4"/>
        <v>1.1174791621334776</v>
      </c>
      <c r="AZ18" s="19">
        <f>AH16/108.94</f>
        <v>0</v>
      </c>
      <c r="BA18" s="19">
        <f>AY18/(AZ18+AY18)</f>
        <v>1</v>
      </c>
      <c r="BD18" s="16" t="s">
        <v>35</v>
      </c>
      <c r="BE18" s="21">
        <f t="shared" si="5"/>
        <v>1.1174791621334776</v>
      </c>
      <c r="BF18" s="55">
        <f>$AH$18/108.94</f>
        <v>9.2840095465393808E-3</v>
      </c>
      <c r="BG18" s="21">
        <f>BE18/(BF18+BE18)</f>
        <v>0.99176046060087597</v>
      </c>
    </row>
    <row r="19" spans="1:59" x14ac:dyDescent="0.2">
      <c r="A19" s="5"/>
      <c r="AF19" s="11" t="s">
        <v>6</v>
      </c>
      <c r="AG19" s="11">
        <v>20.131699999999999</v>
      </c>
      <c r="AH19" s="11">
        <f t="shared" ref="AH19:AH20" si="7">AH18+AI19</f>
        <v>1.5131000000000001</v>
      </c>
      <c r="AI19" s="11">
        <v>0.50170000000000003</v>
      </c>
      <c r="AJ19" s="41">
        <f t="shared" si="6"/>
        <v>7.516007093290682</v>
      </c>
      <c r="AN19" s="15" t="s">
        <v>26</v>
      </c>
      <c r="AO19" s="15">
        <v>-0.23</v>
      </c>
      <c r="AP19" s="43">
        <f t="shared" si="0"/>
        <v>-0.25666666666666665</v>
      </c>
      <c r="AQ19" s="24">
        <f>$AH$17/$AG$17</f>
        <v>2.5283508099166987E-2</v>
      </c>
      <c r="AR19" s="48">
        <f t="shared" si="2"/>
        <v>0.25666666666666665</v>
      </c>
      <c r="AS19" s="35">
        <f t="shared" si="3"/>
        <v>272.89333333333332</v>
      </c>
      <c r="AU19" s="17"/>
      <c r="AV19" t="s">
        <v>36</v>
      </c>
      <c r="AX19" s="15" t="s">
        <v>5</v>
      </c>
      <c r="AY19" s="20">
        <f t="shared" si="4"/>
        <v>1.1174791621334776</v>
      </c>
      <c r="AZ19" s="20">
        <f>$AH$17/108.94</f>
        <v>4.6722966770699472E-3</v>
      </c>
      <c r="BA19" s="20">
        <f t="shared" ref="BA19" si="8">AY19/(AZ19+AY19)</f>
        <v>0.99583630476939133</v>
      </c>
      <c r="BD19" s="17" t="s">
        <v>36</v>
      </c>
      <c r="BE19" s="22">
        <f t="shared" si="5"/>
        <v>1.1174791621334776</v>
      </c>
      <c r="BF19" s="53">
        <f>$AH$19/108.94</f>
        <v>1.3889296860657244E-2</v>
      </c>
      <c r="BG19" s="22">
        <f>BE19/(BF19+BE19)</f>
        <v>0.98772345406110595</v>
      </c>
    </row>
    <row r="20" spans="1:59" x14ac:dyDescent="0.2">
      <c r="A20" s="5"/>
      <c r="AF20" s="11" t="s">
        <v>8</v>
      </c>
      <c r="AG20" s="11">
        <v>20.131699999999999</v>
      </c>
      <c r="AH20" s="11">
        <f t="shared" si="7"/>
        <v>2.0221</v>
      </c>
      <c r="AI20" s="11">
        <v>0.50900000000000001</v>
      </c>
      <c r="AJ20" s="41">
        <f t="shared" si="6"/>
        <v>10.044357903207381</v>
      </c>
      <c r="AN20" s="15" t="s">
        <v>17</v>
      </c>
      <c r="AO20" s="15">
        <v>-0.32</v>
      </c>
      <c r="AP20" s="43">
        <f t="shared" si="0"/>
        <v>-0.34666666666666668</v>
      </c>
      <c r="AQ20" s="24">
        <f>$AH$17/$AG$17</f>
        <v>2.5283508099166987E-2</v>
      </c>
      <c r="AR20" s="48">
        <f t="shared" si="2"/>
        <v>0.34666666666666668</v>
      </c>
      <c r="AS20" s="35">
        <f>AP20+273.15</f>
        <v>272.80333333333328</v>
      </c>
      <c r="AU20" s="18"/>
      <c r="AV20" t="s">
        <v>8</v>
      </c>
      <c r="AX20" s="15" t="s">
        <v>5</v>
      </c>
      <c r="AY20" s="20">
        <f t="shared" si="4"/>
        <v>1.1174791621334776</v>
      </c>
      <c r="AZ20" s="20">
        <f>$AH$17/108.94</f>
        <v>4.6722966770699472E-3</v>
      </c>
      <c r="BA20" s="20">
        <f t="shared" ref="BA20:BA21" si="9">AY20/(AZ20+AY20)</f>
        <v>0.99583630476939133</v>
      </c>
      <c r="BD20" s="18" t="s">
        <v>8</v>
      </c>
      <c r="BE20" s="23">
        <f t="shared" si="5"/>
        <v>1.1174791621334776</v>
      </c>
      <c r="BF20" s="54">
        <f>$AH$20/108.94</f>
        <v>1.856159353772719E-2</v>
      </c>
      <c r="BG20" s="23">
        <f>BE20/(BF20+BE20)</f>
        <v>0.98366115524899411</v>
      </c>
    </row>
    <row r="21" spans="1:59" x14ac:dyDescent="0.2">
      <c r="A21" s="5"/>
      <c r="AF21" s="29"/>
      <c r="AG21" s="29"/>
      <c r="AH21" s="29"/>
      <c r="AN21" s="15" t="s">
        <v>18</v>
      </c>
      <c r="AO21" s="15">
        <v>-0.26</v>
      </c>
      <c r="AP21" s="43">
        <f t="shared" si="0"/>
        <v>-0.28666666666666668</v>
      </c>
      <c r="AQ21" s="24">
        <f t="shared" ref="AQ21" si="10">$AH$17/$AG$17</f>
        <v>2.5283508099166987E-2</v>
      </c>
      <c r="AR21" s="48">
        <f t="shared" si="2"/>
        <v>0.28666666666666668</v>
      </c>
      <c r="AS21" s="35">
        <f t="shared" si="3"/>
        <v>272.86333333333329</v>
      </c>
      <c r="AX21" s="15" t="s">
        <v>5</v>
      </c>
      <c r="AY21" s="20">
        <f t="shared" si="4"/>
        <v>1.1174791621334776</v>
      </c>
      <c r="AZ21" s="20">
        <f t="shared" ref="AZ21" si="11">$AH$17/108.94</f>
        <v>4.6722966770699472E-3</v>
      </c>
      <c r="BA21" s="20">
        <f t="shared" si="9"/>
        <v>0.99583630476939133</v>
      </c>
      <c r="BB21" s="30"/>
      <c r="BD21" s="13"/>
      <c r="BE21" s="31"/>
      <c r="BF21" s="31"/>
      <c r="BG21" s="31"/>
    </row>
    <row r="22" spans="1:59" x14ac:dyDescent="0.2">
      <c r="A22" s="5"/>
      <c r="AF22" s="29" t="s">
        <v>49</v>
      </c>
      <c r="AG22" s="29">
        <v>18.015280000000001</v>
      </c>
      <c r="AH22" s="29"/>
      <c r="AN22" s="16" t="s">
        <v>19</v>
      </c>
      <c r="AO22" s="16">
        <v>-1.55</v>
      </c>
      <c r="AP22" s="44">
        <f t="shared" si="0"/>
        <v>-1.5766666666666667</v>
      </c>
      <c r="AQ22" s="25">
        <f>$AH$18/$AG$18</f>
        <v>5.0239175032411577E-2</v>
      </c>
      <c r="AR22" s="49">
        <f t="shared" si="2"/>
        <v>1.5766666666666667</v>
      </c>
      <c r="AS22" s="36">
        <f t="shared" si="3"/>
        <v>271.57333333333332</v>
      </c>
      <c r="AX22" s="16" t="s">
        <v>35</v>
      </c>
      <c r="AY22" s="21">
        <f t="shared" si="4"/>
        <v>1.1174791621334776</v>
      </c>
      <c r="AZ22" s="21">
        <f>$AH$18/108.94</f>
        <v>9.2840095465393808E-3</v>
      </c>
      <c r="BA22" s="21">
        <f t="shared" ref="BA22:BA30" si="12">AY22/(AZ22+AY22)</f>
        <v>0.99176046060087597</v>
      </c>
      <c r="BB22" s="30"/>
    </row>
    <row r="23" spans="1:59" x14ac:dyDescent="0.2">
      <c r="A23" s="5"/>
      <c r="AF23" s="29"/>
      <c r="AG23" s="29"/>
      <c r="AH23" s="29"/>
      <c r="AN23" s="16" t="s">
        <v>27</v>
      </c>
      <c r="AO23" s="16">
        <v>-1.63</v>
      </c>
      <c r="AP23" s="44">
        <f t="shared" si="0"/>
        <v>-1.6566666666666665</v>
      </c>
      <c r="AQ23" s="25">
        <f t="shared" ref="AQ23:AQ24" si="13">$AH$18/$AG$18</f>
        <v>5.0239175032411577E-2</v>
      </c>
      <c r="AR23" s="49">
        <f t="shared" si="2"/>
        <v>1.6566666666666665</v>
      </c>
      <c r="AS23" s="36">
        <f t="shared" si="3"/>
        <v>271.49333333333328</v>
      </c>
      <c r="AX23" s="16" t="s">
        <v>35</v>
      </c>
      <c r="AY23" s="21">
        <f t="shared" si="4"/>
        <v>1.1174791621334776</v>
      </c>
      <c r="AZ23" s="21">
        <f t="shared" ref="AZ23:AZ24" si="14">$AH$18/108.94</f>
        <v>9.2840095465393808E-3</v>
      </c>
      <c r="BA23" s="21">
        <f t="shared" si="12"/>
        <v>0.99176046060087597</v>
      </c>
      <c r="BB23" s="30"/>
      <c r="BD23" s="33"/>
      <c r="BE23" s="39"/>
      <c r="BF23" s="39"/>
      <c r="BG23" s="39"/>
    </row>
    <row r="24" spans="1:59" x14ac:dyDescent="0.2">
      <c r="A24" s="5"/>
      <c r="AF24" s="29"/>
      <c r="AG24" s="29"/>
      <c r="AH24" s="29"/>
      <c r="AN24" s="16" t="s">
        <v>20</v>
      </c>
      <c r="AO24" s="16">
        <v>-1.53</v>
      </c>
      <c r="AP24" s="44">
        <f t="shared" si="0"/>
        <v>-1.5566666666666666</v>
      </c>
      <c r="AQ24" s="25">
        <f t="shared" si="13"/>
        <v>5.0239175032411577E-2</v>
      </c>
      <c r="AR24" s="49">
        <f>$AG$9-AO24</f>
        <v>1.5566666666666666</v>
      </c>
      <c r="AS24" s="36">
        <f t="shared" si="3"/>
        <v>271.59333333333331</v>
      </c>
      <c r="AX24" s="16" t="s">
        <v>35</v>
      </c>
      <c r="AY24" s="21">
        <f t="shared" si="4"/>
        <v>1.1174791621334776</v>
      </c>
      <c r="AZ24" s="21">
        <f t="shared" si="14"/>
        <v>9.2840095465393808E-3</v>
      </c>
      <c r="BA24" s="21">
        <f t="shared" si="12"/>
        <v>0.99176046060087597</v>
      </c>
      <c r="BB24" s="30"/>
      <c r="BD24" s="33"/>
      <c r="BE24" s="39"/>
      <c r="BF24" s="39"/>
      <c r="BG24" s="39"/>
    </row>
    <row r="25" spans="1:59" x14ac:dyDescent="0.2">
      <c r="A25" s="5"/>
      <c r="AF25" s="29"/>
      <c r="AG25" s="29"/>
      <c r="AH25" s="29"/>
      <c r="AN25" s="17" t="s">
        <v>21</v>
      </c>
      <c r="AO25" s="17">
        <v>-2.68</v>
      </c>
      <c r="AP25" s="45">
        <f t="shared" si="0"/>
        <v>-2.706666666666667</v>
      </c>
      <c r="AQ25" s="26">
        <f>$AH$19/$AG$19</f>
        <v>7.5160070932906817E-2</v>
      </c>
      <c r="AR25" s="50">
        <f t="shared" si="2"/>
        <v>2.706666666666667</v>
      </c>
      <c r="AS25" s="37">
        <f t="shared" si="3"/>
        <v>270.44333333333333</v>
      </c>
      <c r="AX25" s="17" t="s">
        <v>36</v>
      </c>
      <c r="AY25" s="22">
        <f t="shared" si="4"/>
        <v>1.1174791621334776</v>
      </c>
      <c r="AZ25" s="22">
        <f>$AH$19/108.94</f>
        <v>1.3889296860657244E-2</v>
      </c>
      <c r="BA25" s="22">
        <f t="shared" si="12"/>
        <v>0.98772345406110595</v>
      </c>
      <c r="BB25" s="30"/>
    </row>
    <row r="26" spans="1:59" x14ac:dyDescent="0.2">
      <c r="A26" s="5"/>
      <c r="AF26" s="29"/>
      <c r="AG26" s="29"/>
      <c r="AH26" s="29"/>
      <c r="AN26" s="17" t="s">
        <v>28</v>
      </c>
      <c r="AO26" s="17">
        <v>-2.37</v>
      </c>
      <c r="AP26" s="45">
        <f t="shared" si="0"/>
        <v>-2.3966666666666669</v>
      </c>
      <c r="AQ26" s="26">
        <f t="shared" ref="AQ26:AQ27" si="15">$AH$19/$AG$19</f>
        <v>7.5160070932906817E-2</v>
      </c>
      <c r="AR26" s="50">
        <f t="shared" si="2"/>
        <v>2.3966666666666669</v>
      </c>
      <c r="AS26" s="37">
        <f t="shared" si="3"/>
        <v>270.75333333333333</v>
      </c>
      <c r="AX26" s="17" t="s">
        <v>36</v>
      </c>
      <c r="AY26" s="22">
        <f t="shared" si="4"/>
        <v>1.1174791621334776</v>
      </c>
      <c r="AZ26" s="22">
        <f t="shared" ref="AZ26:AZ27" si="16">$AH$19/108.94</f>
        <v>1.3889296860657244E-2</v>
      </c>
      <c r="BA26" s="22">
        <f t="shared" si="12"/>
        <v>0.98772345406110595</v>
      </c>
      <c r="BB26" s="30"/>
      <c r="BD26" s="33"/>
      <c r="BE26" s="39"/>
      <c r="BF26" s="39"/>
      <c r="BG26" s="39"/>
    </row>
    <row r="27" spans="1:59" x14ac:dyDescent="0.2">
      <c r="A27" s="5"/>
      <c r="AF27" s="29"/>
      <c r="AG27" s="29"/>
      <c r="AH27" s="29"/>
      <c r="AN27" s="17" t="s">
        <v>22</v>
      </c>
      <c r="AO27" s="17">
        <v>-2.35</v>
      </c>
      <c r="AP27" s="45">
        <f t="shared" si="0"/>
        <v>-2.3766666666666669</v>
      </c>
      <c r="AQ27" s="26">
        <f t="shared" si="15"/>
        <v>7.5160070932906817E-2</v>
      </c>
      <c r="AR27" s="50">
        <f t="shared" si="2"/>
        <v>2.3766666666666669</v>
      </c>
      <c r="AS27" s="37">
        <f t="shared" si="3"/>
        <v>270.77333333333331</v>
      </c>
      <c r="AX27" s="17" t="s">
        <v>36</v>
      </c>
      <c r="AY27" s="22">
        <f t="shared" si="4"/>
        <v>1.1174791621334776</v>
      </c>
      <c r="AZ27" s="22">
        <f t="shared" si="16"/>
        <v>1.3889296860657244E-2</v>
      </c>
      <c r="BA27" s="22">
        <f t="shared" si="12"/>
        <v>0.98772345406110595</v>
      </c>
      <c r="BB27" s="30"/>
      <c r="BD27" s="33"/>
      <c r="BE27" s="39"/>
      <c r="BF27" s="39"/>
      <c r="BG27" s="39"/>
    </row>
    <row r="28" spans="1:59" x14ac:dyDescent="0.2">
      <c r="A28" s="5"/>
      <c r="AF28" s="29"/>
      <c r="AG28" s="29"/>
      <c r="AH28" s="29"/>
      <c r="AN28" s="18" t="s">
        <v>23</v>
      </c>
      <c r="AO28" s="18">
        <v>-3.97</v>
      </c>
      <c r="AP28" s="46">
        <f t="shared" si="0"/>
        <v>-3.996666666666667</v>
      </c>
      <c r="AQ28" s="27">
        <f>$AH$20/$AG$20</f>
        <v>0.10044357903207381</v>
      </c>
      <c r="AR28" s="51">
        <f t="shared" si="2"/>
        <v>3.996666666666667</v>
      </c>
      <c r="AS28" s="38">
        <f t="shared" si="3"/>
        <v>269.15333333333331</v>
      </c>
      <c r="AX28" s="18" t="s">
        <v>8</v>
      </c>
      <c r="AY28" s="23">
        <f t="shared" si="4"/>
        <v>1.1174791621334776</v>
      </c>
      <c r="AZ28" s="23">
        <f>$AH$20/108.94</f>
        <v>1.856159353772719E-2</v>
      </c>
      <c r="BA28" s="23">
        <f t="shared" si="12"/>
        <v>0.98366115524899411</v>
      </c>
      <c r="BB28" s="30"/>
    </row>
    <row r="29" spans="1:59" x14ac:dyDescent="0.2">
      <c r="A29" s="5"/>
      <c r="AF29" s="29"/>
      <c r="AG29" s="29"/>
      <c r="AH29" s="29"/>
      <c r="AN29" s="18" t="s">
        <v>24</v>
      </c>
      <c r="AO29" s="18">
        <v>-3.72</v>
      </c>
      <c r="AP29" s="46">
        <f t="shared" si="0"/>
        <v>-3.746666666666667</v>
      </c>
      <c r="AQ29" s="27">
        <f t="shared" ref="AQ29:AQ30" si="17">$AH$20/$AG$20</f>
        <v>0.10044357903207381</v>
      </c>
      <c r="AR29" s="51">
        <f t="shared" si="2"/>
        <v>3.746666666666667</v>
      </c>
      <c r="AS29" s="38">
        <f t="shared" si="3"/>
        <v>269.40333333333331</v>
      </c>
      <c r="AX29" s="18" t="s">
        <v>8</v>
      </c>
      <c r="AY29" s="23">
        <f t="shared" si="4"/>
        <v>1.1174791621334776</v>
      </c>
      <c r="AZ29" s="23">
        <f t="shared" ref="AZ29:AZ30" si="18">$AH$20/108.94</f>
        <v>1.856159353772719E-2</v>
      </c>
      <c r="BA29" s="23">
        <f t="shared" si="12"/>
        <v>0.98366115524899411</v>
      </c>
      <c r="BB29" s="30"/>
      <c r="BD29" s="33"/>
      <c r="BE29" s="39"/>
      <c r="BF29" s="39"/>
      <c r="BG29" s="39"/>
    </row>
    <row r="30" spans="1:59" x14ac:dyDescent="0.2">
      <c r="A30" s="5"/>
      <c r="AF30" s="29"/>
      <c r="AG30" s="29"/>
      <c r="AH30" s="29"/>
      <c r="AN30" s="18" t="s">
        <v>25</v>
      </c>
      <c r="AO30" s="18">
        <v>-3.63</v>
      </c>
      <c r="AP30" s="46">
        <f t="shared" si="0"/>
        <v>-3.6566666666666667</v>
      </c>
      <c r="AQ30" s="27">
        <f t="shared" si="17"/>
        <v>0.10044357903207381</v>
      </c>
      <c r="AR30" s="51">
        <f t="shared" si="2"/>
        <v>3.6566666666666667</v>
      </c>
      <c r="AS30" s="38">
        <f t="shared" si="3"/>
        <v>269.49333333333328</v>
      </c>
      <c r="AX30" s="18" t="s">
        <v>8</v>
      </c>
      <c r="AY30" s="23">
        <f t="shared" si="4"/>
        <v>1.1174791621334776</v>
      </c>
      <c r="AZ30" s="23">
        <f t="shared" si="18"/>
        <v>1.856159353772719E-2</v>
      </c>
      <c r="BA30" s="23">
        <f t="shared" si="12"/>
        <v>0.98366115524899411</v>
      </c>
      <c r="BB30" s="30"/>
      <c r="BD30" s="33"/>
      <c r="BE30" s="39"/>
      <c r="BF30" s="39"/>
      <c r="BG30" s="39"/>
    </row>
    <row r="31" spans="1:59" x14ac:dyDescent="0.2">
      <c r="A31" s="5"/>
      <c r="AX31" s="13"/>
      <c r="AY31" s="31"/>
      <c r="AZ31" s="31"/>
      <c r="BA31" s="31"/>
    </row>
    <row r="32" spans="1:59" x14ac:dyDescent="0.2">
      <c r="A32" s="5"/>
    </row>
    <row r="33" spans="1:40" x14ac:dyDescent="0.2">
      <c r="A33" s="5"/>
      <c r="AD33" s="6"/>
    </row>
    <row r="34" spans="1:40" x14ac:dyDescent="0.2">
      <c r="A34" s="5"/>
      <c r="AD34" s="6"/>
    </row>
    <row r="35" spans="1:40" x14ac:dyDescent="0.2">
      <c r="A35" s="5"/>
      <c r="AD35" s="6"/>
    </row>
    <row r="36" spans="1:40" x14ac:dyDescent="0.2">
      <c r="A36" s="5"/>
      <c r="AD36" s="6"/>
    </row>
    <row r="37" spans="1:40" x14ac:dyDescent="0.2">
      <c r="A37" s="5"/>
      <c r="AD37" s="6"/>
      <c r="AN37" s="28"/>
    </row>
    <row r="38" spans="1:40" x14ac:dyDescent="0.2">
      <c r="A38" s="5"/>
      <c r="AD38" s="6"/>
      <c r="AN38" s="28"/>
    </row>
    <row r="39" spans="1:40" x14ac:dyDescent="0.2">
      <c r="A39" s="5"/>
      <c r="AD39" s="6"/>
      <c r="AN39" s="28"/>
    </row>
    <row r="40" spans="1:40" x14ac:dyDescent="0.2">
      <c r="A40" s="5"/>
      <c r="AD40" s="6"/>
      <c r="AN40" s="28"/>
    </row>
    <row r="41" spans="1:40" x14ac:dyDescent="0.2">
      <c r="A41" s="5"/>
      <c r="AD41" s="6"/>
      <c r="AN41" s="28"/>
    </row>
    <row r="42" spans="1:40" x14ac:dyDescent="0.2">
      <c r="A42" s="5"/>
      <c r="AD42" s="6"/>
    </row>
    <row r="43" spans="1:40" x14ac:dyDescent="0.2">
      <c r="A43" s="5"/>
      <c r="AD43" s="6"/>
    </row>
    <row r="44" spans="1:40" x14ac:dyDescent="0.2">
      <c r="A44" s="5"/>
      <c r="AD44" s="6"/>
    </row>
    <row r="45" spans="1:40" x14ac:dyDescent="0.2">
      <c r="A45" s="5"/>
      <c r="AD45" s="6"/>
    </row>
    <row r="46" spans="1:40" x14ac:dyDescent="0.2">
      <c r="A46" s="5"/>
      <c r="AD46" s="6"/>
    </row>
    <row r="47" spans="1:40" x14ac:dyDescent="0.2">
      <c r="A47" s="5"/>
      <c r="AD47" s="6"/>
    </row>
    <row r="48" spans="1:40" x14ac:dyDescent="0.2">
      <c r="A48" s="5"/>
      <c r="AD48" s="6"/>
    </row>
    <row r="49" spans="1:34" x14ac:dyDescent="0.2">
      <c r="A49" s="5"/>
      <c r="AD49" s="6"/>
    </row>
    <row r="50" spans="1:34" x14ac:dyDescent="0.2">
      <c r="A50" s="5"/>
      <c r="AD50" s="6"/>
    </row>
    <row r="51" spans="1:34" x14ac:dyDescent="0.2">
      <c r="A51" s="5"/>
      <c r="AD51" s="6"/>
    </row>
    <row r="52" spans="1:34" x14ac:dyDescent="0.2">
      <c r="A52" s="5"/>
      <c r="AD52" s="6"/>
    </row>
    <row r="53" spans="1:34" x14ac:dyDescent="0.2">
      <c r="A53" s="5"/>
      <c r="AD53" s="6"/>
    </row>
    <row r="54" spans="1:34" x14ac:dyDescent="0.2">
      <c r="A54" s="5"/>
      <c r="AD54" s="6"/>
    </row>
    <row r="55" spans="1:34" x14ac:dyDescent="0.2">
      <c r="A55" s="5"/>
      <c r="AD55" s="6"/>
    </row>
    <row r="56" spans="1:34" x14ac:dyDescent="0.2">
      <c r="A56" s="5"/>
      <c r="AD56" s="6"/>
    </row>
    <row r="57" spans="1:34" x14ac:dyDescent="0.2">
      <c r="A57" s="5"/>
      <c r="AD57" s="6"/>
      <c r="AH57" t="s">
        <v>53</v>
      </c>
    </row>
    <row r="58" spans="1:34" x14ac:dyDescent="0.2">
      <c r="A58" s="5"/>
      <c r="AD58" s="6"/>
      <c r="AH58" t="s">
        <v>54</v>
      </c>
    </row>
    <row r="59" spans="1:34" ht="23" customHeight="1" x14ac:dyDescent="0.2">
      <c r="A59" s="5"/>
      <c r="AD59" s="6"/>
      <c r="AF59" s="10"/>
      <c r="AG59" s="10"/>
    </row>
    <row r="60" spans="1:34" x14ac:dyDescent="0.2">
      <c r="A60" s="5"/>
      <c r="AD60" s="6"/>
    </row>
    <row r="61" spans="1:34" x14ac:dyDescent="0.2">
      <c r="A61" s="5"/>
      <c r="AD61" s="6"/>
    </row>
    <row r="62" spans="1:34" x14ac:dyDescent="0.2">
      <c r="A62" s="5"/>
      <c r="AD62" s="6"/>
    </row>
    <row r="63" spans="1:34" x14ac:dyDescent="0.2">
      <c r="A63" s="5"/>
      <c r="AD63" s="6"/>
    </row>
    <row r="64" spans="1:34" x14ac:dyDescent="0.2">
      <c r="A64" s="5"/>
      <c r="AD64" s="6"/>
    </row>
    <row r="65" spans="1:30" x14ac:dyDescent="0.2">
      <c r="A65" s="5"/>
      <c r="AD65" s="6"/>
    </row>
    <row r="66" spans="1:30" x14ac:dyDescent="0.2">
      <c r="A66" s="5"/>
      <c r="AD66" s="6"/>
    </row>
    <row r="67" spans="1:30" x14ac:dyDescent="0.2">
      <c r="A67" s="5"/>
      <c r="AD67" s="6"/>
    </row>
    <row r="68" spans="1:30" x14ac:dyDescent="0.2">
      <c r="A68" s="5"/>
      <c r="AD68" s="6"/>
    </row>
    <row r="69" spans="1:30" x14ac:dyDescent="0.2">
      <c r="A69" s="5"/>
      <c r="AD69" s="6"/>
    </row>
    <row r="70" spans="1:30" x14ac:dyDescent="0.2">
      <c r="A70" s="5"/>
      <c r="AD70" s="6"/>
    </row>
    <row r="71" spans="1:30" x14ac:dyDescent="0.2">
      <c r="A71" s="5"/>
      <c r="AD71" s="6"/>
    </row>
    <row r="72" spans="1:30" x14ac:dyDescent="0.2">
      <c r="A72" s="5"/>
      <c r="AD72" s="6"/>
    </row>
    <row r="73" spans="1:30" x14ac:dyDescent="0.2">
      <c r="A73" s="5"/>
      <c r="AD73" s="6"/>
    </row>
    <row r="74" spans="1:30" x14ac:dyDescent="0.2">
      <c r="A74" s="5"/>
      <c r="AD74" s="6"/>
    </row>
    <row r="75" spans="1:30" x14ac:dyDescent="0.2">
      <c r="A75" s="5"/>
      <c r="AD75" s="6"/>
    </row>
    <row r="76" spans="1:30" x14ac:dyDescent="0.2">
      <c r="A76" s="5"/>
      <c r="AD76" s="6"/>
    </row>
    <row r="77" spans="1:30" x14ac:dyDescent="0.2">
      <c r="A77" s="5"/>
      <c r="AD77" s="6"/>
    </row>
    <row r="78" spans="1:30" x14ac:dyDescent="0.2">
      <c r="A78" s="5"/>
      <c r="AD78" s="6"/>
    </row>
    <row r="79" spans="1:30" x14ac:dyDescent="0.2">
      <c r="A79" s="5"/>
      <c r="AD79" s="6"/>
    </row>
    <row r="80" spans="1:30" x14ac:dyDescent="0.2">
      <c r="A80" s="5"/>
      <c r="AD80" s="6"/>
    </row>
    <row r="81" spans="1:38" x14ac:dyDescent="0.2">
      <c r="A81" s="5"/>
      <c r="AD81" s="6"/>
    </row>
    <row r="82" spans="1:38" x14ac:dyDescent="0.2">
      <c r="A82" s="5"/>
      <c r="AD82" s="6"/>
    </row>
    <row r="83" spans="1:38" x14ac:dyDescent="0.2">
      <c r="A83" s="5"/>
      <c r="AD83" s="6"/>
    </row>
    <row r="84" spans="1:38" x14ac:dyDescent="0.2">
      <c r="A84" s="5"/>
      <c r="AD84" s="6"/>
    </row>
    <row r="85" spans="1:38" x14ac:dyDescent="0.2">
      <c r="A85" s="5"/>
      <c r="AD85" s="6"/>
    </row>
    <row r="86" spans="1:38" ht="27" customHeight="1" x14ac:dyDescent="0.2">
      <c r="A86" s="5"/>
      <c r="AD86" s="6"/>
      <c r="AF86" s="13" t="s">
        <v>43</v>
      </c>
      <c r="AG86" s="13"/>
      <c r="AH86" s="13" t="s">
        <v>44</v>
      </c>
      <c r="AI86" s="13" t="s">
        <v>50</v>
      </c>
      <c r="AJ86" s="13" t="s">
        <v>52</v>
      </c>
      <c r="AL86" s="40" t="s">
        <v>51</v>
      </c>
    </row>
    <row r="87" spans="1:38" ht="27" customHeight="1" x14ac:dyDescent="0.2">
      <c r="A87" s="5"/>
      <c r="AD87" s="6"/>
      <c r="AF87" s="13" t="s">
        <v>42</v>
      </c>
      <c r="AG87" s="13"/>
      <c r="AH87" s="13" t="s">
        <v>45</v>
      </c>
      <c r="AI87" s="32" t="s">
        <v>46</v>
      </c>
      <c r="AJ87" s="33"/>
    </row>
    <row r="88" spans="1:38" x14ac:dyDescent="0.2">
      <c r="A88" s="5"/>
      <c r="AD88" s="6"/>
    </row>
    <row r="89" spans="1:38" x14ac:dyDescent="0.2">
      <c r="A89" s="5"/>
      <c r="AD89" s="6"/>
      <c r="AF89" t="s">
        <v>55</v>
      </c>
    </row>
    <row r="90" spans="1:38" x14ac:dyDescent="0.2">
      <c r="A90" s="5"/>
      <c r="AD90" s="6"/>
      <c r="AF90" t="s">
        <v>56</v>
      </c>
    </row>
    <row r="91" spans="1:38" x14ac:dyDescent="0.2">
      <c r="A91" s="5"/>
      <c r="AD91" s="6"/>
    </row>
    <row r="92" spans="1:38" x14ac:dyDescent="0.2">
      <c r="A92" s="5"/>
      <c r="AD92" s="6"/>
    </row>
    <row r="93" spans="1:38" x14ac:dyDescent="0.2">
      <c r="A93" s="5"/>
      <c r="AD93" s="6"/>
    </row>
    <row r="94" spans="1:38" x14ac:dyDescent="0.2">
      <c r="A94" s="5"/>
      <c r="AD94" s="6"/>
    </row>
    <row r="95" spans="1:38" x14ac:dyDescent="0.2">
      <c r="A95" s="5"/>
      <c r="AD95" s="6"/>
    </row>
    <row r="96" spans="1:38" x14ac:dyDescent="0.2">
      <c r="A96" s="5"/>
      <c r="AD96" s="6"/>
    </row>
    <row r="97" spans="1:30" x14ac:dyDescent="0.2">
      <c r="A97" s="5"/>
      <c r="AD97" s="6"/>
    </row>
    <row r="98" spans="1:30" x14ac:dyDescent="0.2">
      <c r="A98" s="5"/>
      <c r="AD98" s="6"/>
    </row>
    <row r="99" spans="1:30" x14ac:dyDescent="0.2">
      <c r="A99" s="5"/>
      <c r="AD99" s="6"/>
    </row>
    <row r="100" spans="1:30" x14ac:dyDescent="0.2">
      <c r="A100" s="5"/>
      <c r="AD100" s="6"/>
    </row>
    <row r="101" spans="1:30" x14ac:dyDescent="0.2">
      <c r="A101" s="5"/>
      <c r="AD101" s="6"/>
    </row>
    <row r="102" spans="1:30" x14ac:dyDescent="0.2">
      <c r="A102" s="5"/>
      <c r="AD102" s="6"/>
    </row>
    <row r="103" spans="1:30" x14ac:dyDescent="0.2">
      <c r="A103" s="5"/>
      <c r="AD103" s="6"/>
    </row>
    <row r="104" spans="1:30" x14ac:dyDescent="0.2">
      <c r="A104" s="5"/>
      <c r="AD104" s="6"/>
    </row>
    <row r="105" spans="1:30" x14ac:dyDescent="0.2">
      <c r="A105" s="5"/>
      <c r="AD105" s="6"/>
    </row>
    <row r="106" spans="1:30" x14ac:dyDescent="0.2">
      <c r="A106" s="5"/>
      <c r="AD106" s="6"/>
    </row>
    <row r="107" spans="1:30" x14ac:dyDescent="0.2">
      <c r="A107" s="5"/>
      <c r="AD107" s="6"/>
    </row>
    <row r="108" spans="1:30" x14ac:dyDescent="0.2">
      <c r="A108" s="5"/>
      <c r="AD108" s="6"/>
    </row>
    <row r="109" spans="1:30" x14ac:dyDescent="0.2">
      <c r="A109" s="5"/>
      <c r="AD109" s="6"/>
    </row>
    <row r="110" spans="1:30" x14ac:dyDescent="0.2">
      <c r="A110" s="5"/>
      <c r="AD110" s="6"/>
    </row>
    <row r="111" spans="1:30" x14ac:dyDescent="0.2">
      <c r="A111" s="5"/>
      <c r="AD111" s="6"/>
    </row>
    <row r="112" spans="1:30" x14ac:dyDescent="0.2">
      <c r="A112" s="5"/>
      <c r="AD112" s="6"/>
    </row>
    <row r="113" spans="1:30" x14ac:dyDescent="0.2">
      <c r="A113" s="5"/>
      <c r="AD113" s="6"/>
    </row>
    <row r="114" spans="1:30" x14ac:dyDescent="0.2">
      <c r="A114" s="5"/>
      <c r="AD114" s="6"/>
    </row>
    <row r="115" spans="1:30" x14ac:dyDescent="0.2">
      <c r="A115" s="5"/>
      <c r="AD115" s="6"/>
    </row>
    <row r="116" spans="1:30" x14ac:dyDescent="0.2">
      <c r="A116" s="5"/>
      <c r="AD116" s="6"/>
    </row>
    <row r="117" spans="1:30" x14ac:dyDescent="0.2">
      <c r="A117" s="5"/>
      <c r="AD117" s="6"/>
    </row>
    <row r="118" spans="1:30" x14ac:dyDescent="0.2">
      <c r="A118" s="5"/>
      <c r="AD118" s="6"/>
    </row>
    <row r="119" spans="1:30" x14ac:dyDescent="0.2">
      <c r="A119" s="5"/>
      <c r="AD119" s="6"/>
    </row>
    <row r="120" spans="1:30" x14ac:dyDescent="0.2">
      <c r="A120" s="5"/>
      <c r="AD120" s="6"/>
    </row>
    <row r="121" spans="1:30" x14ac:dyDescent="0.2">
      <c r="A121" s="5"/>
      <c r="AD121" s="6"/>
    </row>
    <row r="122" spans="1:30" x14ac:dyDescent="0.2">
      <c r="A122" s="5"/>
      <c r="AD122" s="6"/>
    </row>
    <row r="123" spans="1:30" x14ac:dyDescent="0.2">
      <c r="A123" s="5"/>
      <c r="AD123" s="6"/>
    </row>
    <row r="124" spans="1:30" x14ac:dyDescent="0.2">
      <c r="A124" s="5"/>
      <c r="AD124" s="6"/>
    </row>
    <row r="125" spans="1:30" x14ac:dyDescent="0.2">
      <c r="A125" s="5"/>
      <c r="AD125" s="6"/>
    </row>
    <row r="126" spans="1:30" x14ac:dyDescent="0.2">
      <c r="A126" s="5"/>
      <c r="AD126" s="6"/>
    </row>
    <row r="127" spans="1:30" x14ac:dyDescent="0.2">
      <c r="A127" s="5"/>
      <c r="AD127" s="6"/>
    </row>
    <row r="128" spans="1:30" x14ac:dyDescent="0.2">
      <c r="A128" s="5"/>
      <c r="AD128" s="6"/>
    </row>
    <row r="129" spans="1:30" x14ac:dyDescent="0.2">
      <c r="A129" s="5"/>
      <c r="AD129" s="6"/>
    </row>
    <row r="130" spans="1:30" x14ac:dyDescent="0.2">
      <c r="A130" s="5"/>
      <c r="AD130" s="6"/>
    </row>
    <row r="131" spans="1:30" x14ac:dyDescent="0.2">
      <c r="A131" s="5"/>
      <c r="AD131" s="6"/>
    </row>
    <row r="132" spans="1:30" x14ac:dyDescent="0.2">
      <c r="A132" s="5"/>
      <c r="AD132" s="6"/>
    </row>
    <row r="133" spans="1:30" x14ac:dyDescent="0.2">
      <c r="A133" s="5"/>
      <c r="AD133" s="6"/>
    </row>
    <row r="134" spans="1:30" x14ac:dyDescent="0.2">
      <c r="A134" s="5"/>
      <c r="AD134" s="6"/>
    </row>
    <row r="135" spans="1:30" x14ac:dyDescent="0.2">
      <c r="A135" s="5"/>
      <c r="AD135" s="6"/>
    </row>
    <row r="136" spans="1:30" x14ac:dyDescent="0.2">
      <c r="A136" s="5"/>
      <c r="AD136" s="6"/>
    </row>
    <row r="137" spans="1:30" x14ac:dyDescent="0.2">
      <c r="A137" s="5"/>
      <c r="AD137" s="6"/>
    </row>
    <row r="138" spans="1:30" x14ac:dyDescent="0.2">
      <c r="A138" s="5"/>
      <c r="AD138" s="6"/>
    </row>
    <row r="139" spans="1:30" x14ac:dyDescent="0.2">
      <c r="A139" s="5"/>
      <c r="AD139" s="6"/>
    </row>
    <row r="140" spans="1:30" x14ac:dyDescent="0.2">
      <c r="A140" s="5"/>
      <c r="AD140" s="6"/>
    </row>
    <row r="141" spans="1:30" x14ac:dyDescent="0.2">
      <c r="A141" s="5"/>
      <c r="AD141" s="6"/>
    </row>
    <row r="142" spans="1:30" x14ac:dyDescent="0.2">
      <c r="A142" s="5"/>
      <c r="AD142" s="6"/>
    </row>
    <row r="143" spans="1:30" x14ac:dyDescent="0.2">
      <c r="A143" s="5"/>
      <c r="AD143" s="6"/>
    </row>
    <row r="144" spans="1:30" x14ac:dyDescent="0.2">
      <c r="A144" s="5"/>
      <c r="AD144" s="6"/>
    </row>
    <row r="145" spans="1:30" x14ac:dyDescent="0.2">
      <c r="A145" s="5"/>
      <c r="AD145" s="6"/>
    </row>
    <row r="146" spans="1:30" x14ac:dyDescent="0.2">
      <c r="A146" s="5"/>
      <c r="AD146" s="6"/>
    </row>
    <row r="147" spans="1:30" x14ac:dyDescent="0.2">
      <c r="A147" s="5"/>
      <c r="AD147" s="6"/>
    </row>
    <row r="148" spans="1:30" x14ac:dyDescent="0.2">
      <c r="A148" s="5"/>
      <c r="AD148" s="6"/>
    </row>
    <row r="149" spans="1:30" x14ac:dyDescent="0.2">
      <c r="A149" s="5"/>
      <c r="AD149" s="6"/>
    </row>
    <row r="150" spans="1:30" x14ac:dyDescent="0.2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9"/>
    </row>
  </sheetData>
  <mergeCells count="5">
    <mergeCell ref="AE3:AJ3"/>
    <mergeCell ref="AE13:AJ13"/>
    <mergeCell ref="AM13:AT13"/>
    <mergeCell ref="AW13:BA13"/>
    <mergeCell ref="BC13:BG13"/>
  </mergeCells>
  <hyperlinks>
    <hyperlink ref="AL86" r:id="rId1" location=":~:text=Der%20Schmelz%2D%20bzw.,Verunreinigungen%20wie%20Staubpartikel%2C%20Bakterien%20usw." xr:uid="{D5A728EA-9902-AA4E-9B2C-CE77E14B453C}"/>
  </hyperlinks>
  <pageMargins left="0.7" right="0.7" top="0.78740157499999996" bottom="0.78740157499999996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6530-1917-4A4E-A94A-3CEAF7989B3E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15 Graphen + Gefrierpunkt</vt:lpstr>
      <vt:lpstr>Tabelle4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Berens</dc:creator>
  <cp:lastModifiedBy>Sascha Berens</cp:lastModifiedBy>
  <dcterms:created xsi:type="dcterms:W3CDTF">2025-05-28T16:40:32Z</dcterms:created>
  <dcterms:modified xsi:type="dcterms:W3CDTF">2025-07-03T18:25:50Z</dcterms:modified>
</cp:coreProperties>
</file>