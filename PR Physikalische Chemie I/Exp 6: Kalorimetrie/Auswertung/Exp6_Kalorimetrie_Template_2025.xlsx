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Auszufüllende Templates/"/>
    </mc:Choice>
  </mc:AlternateContent>
  <xr:revisionPtr revIDLastSave="0" documentId="13_ncr:1_{C87F3FCB-0BBC-884F-B03D-1C1271159E3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Kalorimetri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M14" i="1"/>
  <c r="M15" i="1"/>
  <c r="M16" i="1"/>
  <c r="M17" i="1"/>
  <c r="M18" i="1"/>
  <c r="M19" i="1"/>
  <c r="M11" i="1"/>
  <c r="M10" i="1"/>
  <c r="L10" i="1"/>
  <c r="G10" i="1"/>
  <c r="J11" i="1"/>
  <c r="L11" i="1" s="1"/>
  <c r="K14" i="1"/>
  <c r="K13" i="1"/>
  <c r="K15" i="1"/>
  <c r="K16" i="1" s="1"/>
  <c r="K17" i="1" s="1"/>
  <c r="K18" i="1" s="1"/>
  <c r="K19" i="1" s="1"/>
  <c r="K12" i="1"/>
  <c r="K11" i="1"/>
  <c r="K10" i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I18" i="1"/>
  <c r="I17" i="1"/>
  <c r="I16" i="1"/>
  <c r="I15" i="1"/>
  <c r="I14" i="1"/>
  <c r="I13" i="1"/>
  <c r="I12" i="1"/>
  <c r="I11" i="1"/>
  <c r="I19" i="1" l="1"/>
</calcChain>
</file>

<file path=xl/sharedStrings.xml><?xml version="1.0" encoding="utf-8"?>
<sst xmlns="http://schemas.openxmlformats.org/spreadsheetml/2006/main" count="26" uniqueCount="26">
  <si>
    <t>Zusammen mit dem Protokoll im OLAT hochladen</t>
  </si>
  <si>
    <t>Name</t>
  </si>
  <si>
    <t>Gruppe/Nummer</t>
  </si>
  <si>
    <t>(z.B. Q3)</t>
  </si>
  <si>
    <r>
      <rPr>
        <b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/ g</t>
    </r>
  </si>
  <si>
    <r>
      <rPr>
        <b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Calibri"/>
        <family val="2"/>
        <scheme val="minor"/>
      </rPr>
      <t>T</t>
    </r>
    <r>
      <rPr>
        <b/>
        <vertAlign val="subscript"/>
        <sz val="11"/>
        <color theme="1"/>
        <rFont val="Calibri"/>
        <family val="2"/>
        <scheme val="minor"/>
      </rPr>
      <t>Lös</t>
    </r>
    <r>
      <rPr>
        <b/>
        <sz val="11"/>
        <color theme="1"/>
        <rFont val="Calibri"/>
        <family val="2"/>
        <scheme val="minor"/>
      </rPr>
      <t xml:space="preserve"> / K</t>
    </r>
  </si>
  <si>
    <r>
      <rPr>
        <b/>
        <i/>
        <sz val="11"/>
        <color theme="1"/>
        <rFont val="Calibri"/>
        <family val="2"/>
        <scheme val="minor"/>
      </rPr>
      <t>t</t>
    </r>
    <r>
      <rPr>
        <b/>
        <vertAlign val="subscript"/>
        <sz val="11"/>
        <color theme="1"/>
        <rFont val="Calibri"/>
        <family val="2"/>
        <scheme val="minor"/>
      </rPr>
      <t>Heiz</t>
    </r>
    <r>
      <rPr>
        <b/>
        <sz val="11"/>
        <color theme="1"/>
        <rFont val="Calibri"/>
        <family val="2"/>
        <scheme val="minor"/>
      </rPr>
      <t xml:space="preserve"> / s</t>
    </r>
  </si>
  <si>
    <r>
      <rPr>
        <b/>
        <sz val="11"/>
        <color theme="1"/>
        <rFont val="Symbol"/>
        <family val="1"/>
        <charset val="2"/>
      </rPr>
      <t>D</t>
    </r>
    <r>
      <rPr>
        <b/>
        <i/>
        <sz val="11"/>
        <color theme="1"/>
        <rFont val="Calibri"/>
        <family val="2"/>
        <scheme val="minor"/>
      </rPr>
      <t>T</t>
    </r>
    <r>
      <rPr>
        <b/>
        <vertAlign val="subscript"/>
        <sz val="11"/>
        <color theme="1"/>
        <rFont val="Calibri"/>
        <family val="2"/>
        <scheme val="minor"/>
      </rPr>
      <t>Heiz</t>
    </r>
    <r>
      <rPr>
        <b/>
        <sz val="11"/>
        <color theme="1"/>
        <rFont val="Calibri"/>
        <family val="2"/>
        <scheme val="minor"/>
      </rPr>
      <t xml:space="preserve"> / K</t>
    </r>
  </si>
  <si>
    <t>Messung Nr.</t>
  </si>
  <si>
    <t>Alle orangen Zellen (bis inkl. Spalte G und Zeile 19!) ausfüllen!</t>
  </si>
  <si>
    <t>Auf korrekte Einheiten und die richtige Reihenfolge der Messungen achten!</t>
  </si>
  <si>
    <t>Ein fehlerhaft ausgefülltes Template führt zu Abzügen in der Benotung!</t>
  </si>
  <si>
    <r>
      <rPr>
        <b/>
        <i/>
        <sz val="11"/>
        <color theme="1"/>
        <rFont val="Calibri"/>
        <family val="2"/>
        <scheme val="minor"/>
      </rPr>
      <t>U</t>
    </r>
    <r>
      <rPr>
        <b/>
        <vertAlign val="subscript"/>
        <sz val="11"/>
        <color theme="1"/>
        <rFont val="Calibri"/>
        <family val="2"/>
        <scheme val="minor"/>
      </rPr>
      <t>Heiz</t>
    </r>
    <r>
      <rPr>
        <b/>
        <sz val="11"/>
        <color theme="1"/>
        <rFont val="Calibri"/>
        <family val="2"/>
        <scheme val="minor"/>
      </rPr>
      <t xml:space="preserve"> / V</t>
    </r>
  </si>
  <si>
    <r>
      <rPr>
        <b/>
        <i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Heiz</t>
    </r>
    <r>
      <rPr>
        <b/>
        <sz val="11"/>
        <color theme="1"/>
        <rFont val="Calibri"/>
        <family val="2"/>
        <scheme val="minor"/>
      </rPr>
      <t xml:space="preserve"> / A</t>
    </r>
  </si>
  <si>
    <t>Benennung der Datei nach Filenamenkonvention (s. OLAT)</t>
  </si>
  <si>
    <t>Sascha Berens</t>
  </si>
  <si>
    <t>F1</t>
  </si>
  <si>
    <t>112.99</t>
  </si>
  <si>
    <t>C_p</t>
  </si>
  <si>
    <t>DeltaH_Lös</t>
  </si>
  <si>
    <t>Graph 11:</t>
  </si>
  <si>
    <t>Graph 12:</t>
  </si>
  <si>
    <t>m(g)</t>
  </si>
  <si>
    <t>DeltaH_Lös/deltam</t>
  </si>
  <si>
    <t>Erste Lösungsenthalpie (bei m=0): 336.78 ± 1.32 J/g</t>
  </si>
  <si>
    <t>H_Ges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</si>
</sst>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Symbol"/>
      <family val="1"/>
      <charset val="2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right"/>
    </xf>
    <xf numFmtId="0" fontId="0" fillId="2" borderId="3" xfId="0" applyFill="1" applyBorder="1"/>
    <xf numFmtId="0" fontId="0" fillId="0" borderId="4" xfId="0" applyBorder="1"/>
    <xf numFmtId="0" fontId="1" fillId="0" borderId="5" xfId="0" applyFont="1" applyBorder="1" applyAlignment="1">
      <alignment horizontal="right"/>
    </xf>
    <xf numFmtId="0" fontId="0" fillId="2" borderId="6" xfId="0" applyFill="1" applyBorder="1"/>
    <xf numFmtId="0" fontId="0" fillId="0" borderId="7" xfId="0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0" fillId="2" borderId="0" xfId="0" applyFill="1"/>
    <xf numFmtId="0" fontId="0" fillId="2" borderId="8" xfId="0" applyFill="1" applyBorder="1"/>
    <xf numFmtId="0" fontId="0" fillId="0" borderId="5" xfId="0" applyBorder="1"/>
    <xf numFmtId="0" fontId="0" fillId="2" borderId="7" xfId="0" applyFill="1" applyBorder="1"/>
    <xf numFmtId="0" fontId="1" fillId="0" borderId="0" xfId="0" applyFont="1"/>
    <xf numFmtId="0" fontId="0" fillId="2" borderId="0" xfId="0" applyFill="1" applyAlignment="1">
      <alignment horizontal="right"/>
    </xf>
    <xf numFmtId="0" fontId="1" fillId="0" borderId="9" xfId="0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0" fillId="0" borderId="9" xfId="0" applyBorder="1"/>
    <xf numFmtId="164" fontId="0" fillId="0" borderId="9" xfId="0" applyNumberFormat="1" applyBorder="1"/>
    <xf numFmtId="0" fontId="1" fillId="0" borderId="9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534590</xdr:colOff>
      <xdr:row>45</xdr:row>
      <xdr:rowOff>134541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DC625664-A843-2D5D-EDB0-D566A3C6B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078" y="4306094"/>
          <a:ext cx="6299200" cy="447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8</xdr:col>
      <xdr:colOff>534590</xdr:colOff>
      <xdr:row>73</xdr:row>
      <xdr:rowOff>134540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778C8CFD-3A2C-A88D-F2A1-14AE56416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078" y="9584531"/>
          <a:ext cx="6299200" cy="447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zoomScale="118" zoomScaleNormal="128" workbookViewId="0">
      <selection activeCell="M10" sqref="M10"/>
    </sheetView>
  </sheetViews>
  <sheetFormatPr baseColWidth="10" defaultRowHeight="15" x14ac:dyDescent="0.2"/>
  <cols>
    <col min="1" max="1" width="16.5" bestFit="1" customWidth="1"/>
    <col min="12" max="12" width="17.6640625" customWidth="1"/>
  </cols>
  <sheetData>
    <row r="1" spans="1:13" ht="20" thickTop="1" x14ac:dyDescent="0.25">
      <c r="A1" s="3" t="s">
        <v>1</v>
      </c>
      <c r="B1" s="4" t="s">
        <v>15</v>
      </c>
      <c r="C1" s="5"/>
      <c r="E1" s="1" t="s">
        <v>9</v>
      </c>
    </row>
    <row r="2" spans="1:13" ht="16" thickBot="1" x14ac:dyDescent="0.25">
      <c r="A2" s="6" t="s">
        <v>2</v>
      </c>
      <c r="B2" s="7" t="s">
        <v>16</v>
      </c>
      <c r="C2" s="8" t="s">
        <v>3</v>
      </c>
      <c r="E2" s="2" t="s">
        <v>14</v>
      </c>
    </row>
    <row r="3" spans="1:13" ht="16" thickTop="1" x14ac:dyDescent="0.2">
      <c r="E3" t="s">
        <v>0</v>
      </c>
    </row>
    <row r="4" spans="1:13" x14ac:dyDescent="0.2">
      <c r="E4" s="2" t="s">
        <v>10</v>
      </c>
    </row>
    <row r="5" spans="1:13" x14ac:dyDescent="0.2">
      <c r="E5" s="17" t="s">
        <v>11</v>
      </c>
    </row>
    <row r="8" spans="1:13" ht="16" thickBot="1" x14ac:dyDescent="0.25"/>
    <row r="9" spans="1:13" ht="18" thickTop="1" x14ac:dyDescent="0.25">
      <c r="A9" s="9" t="s">
        <v>8</v>
      </c>
      <c r="B9" s="10" t="s">
        <v>4</v>
      </c>
      <c r="C9" s="10" t="s">
        <v>5</v>
      </c>
      <c r="D9" s="10" t="s">
        <v>12</v>
      </c>
      <c r="E9" s="10" t="s">
        <v>13</v>
      </c>
      <c r="F9" s="10" t="s">
        <v>6</v>
      </c>
      <c r="G9" s="11" t="s">
        <v>7</v>
      </c>
      <c r="I9" s="19" t="s">
        <v>18</v>
      </c>
      <c r="J9" s="19" t="s">
        <v>19</v>
      </c>
      <c r="K9" s="23" t="s">
        <v>22</v>
      </c>
      <c r="L9" s="19" t="s">
        <v>23</v>
      </c>
      <c r="M9" s="25" t="s">
        <v>25</v>
      </c>
    </row>
    <row r="10" spans="1:13" x14ac:dyDescent="0.2">
      <c r="A10" s="12">
        <v>1</v>
      </c>
      <c r="B10" s="13">
        <v>5.5526</v>
      </c>
      <c r="C10" s="13">
        <v>-0.65039999999999998</v>
      </c>
      <c r="D10" s="13">
        <v>29.94</v>
      </c>
      <c r="E10" s="13">
        <v>0.56899999999999995</v>
      </c>
      <c r="F10" s="18" t="s">
        <v>17</v>
      </c>
      <c r="G10" s="14">
        <f>0.6714</f>
        <v>0.6714</v>
      </c>
      <c r="I10" s="20">
        <v>7.0296979999999998</v>
      </c>
      <c r="J10" s="20">
        <v>1864.6755089999999</v>
      </c>
      <c r="K10" s="23">
        <f>B10</f>
        <v>5.5526</v>
      </c>
      <c r="L10" s="24">
        <f>J10/B10</f>
        <v>335.82024799193169</v>
      </c>
      <c r="M10" s="24">
        <f>J10</f>
        <v>1864.6755089999999</v>
      </c>
    </row>
    <row r="11" spans="1:13" x14ac:dyDescent="0.2">
      <c r="A11" s="12">
        <v>2</v>
      </c>
      <c r="B11" s="13">
        <v>5.5362999999999998</v>
      </c>
      <c r="C11" s="13">
        <v>-0.63539999999999996</v>
      </c>
      <c r="D11" s="13">
        <v>30.13</v>
      </c>
      <c r="E11" s="13">
        <v>0.57299999999999995</v>
      </c>
      <c r="F11" s="13">
        <v>108.83</v>
      </c>
      <c r="G11" s="14">
        <v>0.66190000000000004</v>
      </c>
      <c r="I11" s="20">
        <f>(D11*E11*F11)/G11</f>
        <v>2838.6379312584977</v>
      </c>
      <c r="J11" s="20">
        <f>-D11*E11*F11*C11/G11</f>
        <v>1803.6705415216495</v>
      </c>
      <c r="K11" s="23">
        <f>B10+B11</f>
        <v>11.088899999999999</v>
      </c>
      <c r="L11" s="24">
        <f t="shared" ref="L11:L19" si="0">J11/B11</f>
        <v>325.78988521605578</v>
      </c>
      <c r="M11" s="24">
        <f>M10+J11</f>
        <v>3668.3460505216494</v>
      </c>
    </row>
    <row r="12" spans="1:13" x14ac:dyDescent="0.2">
      <c r="A12" s="12">
        <v>3</v>
      </c>
      <c r="B12" s="13">
        <v>5.5750999999999999</v>
      </c>
      <c r="C12" s="13">
        <v>-0.63200000000000001</v>
      </c>
      <c r="D12" s="13">
        <v>30.12</v>
      </c>
      <c r="E12" s="13">
        <v>0.57299999999999995</v>
      </c>
      <c r="F12" s="13">
        <v>104.85</v>
      </c>
      <c r="G12" s="14">
        <v>0.63429999999999997</v>
      </c>
      <c r="I12" s="20">
        <f t="shared" ref="I12:I19" si="1">(D12*E12*F12)/G12</f>
        <v>2852.8787419202267</v>
      </c>
      <c r="J12" s="20">
        <f t="shared" ref="J10:J19" si="2">-D12*E12*F12*C12/G12</f>
        <v>1803.0193648935833</v>
      </c>
      <c r="K12" s="23">
        <f>K11+B12</f>
        <v>16.663999999999998</v>
      </c>
      <c r="L12" s="24">
        <f t="shared" si="0"/>
        <v>323.40574427249436</v>
      </c>
      <c r="M12" s="24">
        <f>M11+J12</f>
        <v>5471.3654154152327</v>
      </c>
    </row>
    <row r="13" spans="1:13" x14ac:dyDescent="0.2">
      <c r="A13" s="12">
        <v>4</v>
      </c>
      <c r="B13" s="13">
        <v>5.5555000000000003</v>
      </c>
      <c r="C13" s="13">
        <v>-0.62250000000000005</v>
      </c>
      <c r="D13" s="13">
        <v>29.98</v>
      </c>
      <c r="E13" s="13">
        <v>0.56999999999999995</v>
      </c>
      <c r="F13" s="13">
        <v>104.66</v>
      </c>
      <c r="G13" s="14">
        <v>0.63060000000000005</v>
      </c>
      <c r="I13" s="20">
        <f t="shared" si="1"/>
        <v>2836.176460513796</v>
      </c>
      <c r="J13" s="20">
        <f t="shared" si="2"/>
        <v>1765.5198466698382</v>
      </c>
      <c r="K13" s="23">
        <f>K12+B13</f>
        <v>22.219499999999996</v>
      </c>
      <c r="L13" s="24">
        <f t="shared" si="0"/>
        <v>317.79675036807453</v>
      </c>
      <c r="M13" s="24">
        <f t="shared" ref="M12:M19" si="3">M12+J13</f>
        <v>7236.8852620850712</v>
      </c>
    </row>
    <row r="14" spans="1:13" x14ac:dyDescent="0.2">
      <c r="A14" s="12">
        <v>5</v>
      </c>
      <c r="B14" s="13">
        <v>5.5449000000000002</v>
      </c>
      <c r="C14" s="13">
        <v>-0.61099999999999999</v>
      </c>
      <c r="D14" s="13">
        <v>30.05</v>
      </c>
      <c r="E14" s="13">
        <v>0.57099999999999995</v>
      </c>
      <c r="F14" s="13">
        <v>106.94</v>
      </c>
      <c r="G14" s="14">
        <v>0.64490000000000003</v>
      </c>
      <c r="I14" s="20">
        <f t="shared" si="1"/>
        <v>2845.3021197084813</v>
      </c>
      <c r="J14" s="20">
        <f t="shared" si="2"/>
        <v>1738.4795951418821</v>
      </c>
      <c r="K14" s="23">
        <f>K13+B14</f>
        <v>27.764399999999995</v>
      </c>
      <c r="L14" s="24">
        <f t="shared" si="0"/>
        <v>313.52767320274165</v>
      </c>
      <c r="M14" s="24">
        <f t="shared" si="3"/>
        <v>8975.364857226954</v>
      </c>
    </row>
    <row r="15" spans="1:13" x14ac:dyDescent="0.2">
      <c r="A15" s="12">
        <v>6</v>
      </c>
      <c r="B15" s="13">
        <v>5.5488999999999997</v>
      </c>
      <c r="C15" s="13">
        <v>-0.60560000000000003</v>
      </c>
      <c r="D15" s="13">
        <v>30.09</v>
      </c>
      <c r="E15" s="13">
        <v>0.57199999999999995</v>
      </c>
      <c r="F15" s="13">
        <v>108.17</v>
      </c>
      <c r="G15" s="14">
        <v>0.65149999999999997</v>
      </c>
      <c r="I15" s="20">
        <f t="shared" si="1"/>
        <v>2857.6604629316957</v>
      </c>
      <c r="J15" s="20">
        <f t="shared" si="2"/>
        <v>1730.5991763514351</v>
      </c>
      <c r="K15" s="23">
        <f t="shared" ref="K13:K19" si="4">K14+B15</f>
        <v>33.313299999999998</v>
      </c>
      <c r="L15" s="24">
        <f t="shared" si="0"/>
        <v>311.88148576320265</v>
      </c>
      <c r="M15" s="24">
        <f t="shared" si="3"/>
        <v>10705.96403357839</v>
      </c>
    </row>
    <row r="16" spans="1:13" x14ac:dyDescent="0.2">
      <c r="A16" s="12">
        <v>7</v>
      </c>
      <c r="B16" s="13">
        <v>5.5575000000000001</v>
      </c>
      <c r="C16" s="13">
        <v>-0.59289999999999998</v>
      </c>
      <c r="D16" s="13">
        <v>30.02</v>
      </c>
      <c r="E16" s="13">
        <v>0.57199999999999995</v>
      </c>
      <c r="F16" s="13">
        <v>102.06</v>
      </c>
      <c r="G16" s="14">
        <v>0.61439999999999995</v>
      </c>
      <c r="I16" s="20">
        <f t="shared" si="1"/>
        <v>2852.4042421874997</v>
      </c>
      <c r="J16" s="20">
        <f t="shared" si="2"/>
        <v>1691.1904751929687</v>
      </c>
      <c r="K16" s="23">
        <f t="shared" si="4"/>
        <v>38.870799999999996</v>
      </c>
      <c r="L16" s="24">
        <f t="shared" si="0"/>
        <v>304.30777781249998</v>
      </c>
      <c r="M16" s="24">
        <f t="shared" si="3"/>
        <v>12397.154508771358</v>
      </c>
    </row>
    <row r="17" spans="1:13" x14ac:dyDescent="0.2">
      <c r="A17" s="12">
        <v>8</v>
      </c>
      <c r="B17" s="13">
        <v>5.5507</v>
      </c>
      <c r="C17" s="13">
        <v>-0.58599999999999997</v>
      </c>
      <c r="D17" s="13">
        <v>29.98</v>
      </c>
      <c r="E17" s="13">
        <v>0.56999999999999995</v>
      </c>
      <c r="F17" s="13">
        <v>102.06</v>
      </c>
      <c r="G17" s="14">
        <v>0.61370000000000002</v>
      </c>
      <c r="I17" s="20">
        <f t="shared" si="1"/>
        <v>2841.8812383900927</v>
      </c>
      <c r="J17" s="20">
        <f t="shared" si="2"/>
        <v>1665.3424056965941</v>
      </c>
      <c r="K17" s="23">
        <f t="shared" si="4"/>
        <v>44.421499999999995</v>
      </c>
      <c r="L17" s="24">
        <f t="shared" si="0"/>
        <v>300.02385387367252</v>
      </c>
      <c r="M17" s="24">
        <f t="shared" si="3"/>
        <v>14062.496914467953</v>
      </c>
    </row>
    <row r="18" spans="1:13" x14ac:dyDescent="0.2">
      <c r="A18" s="12">
        <v>9</v>
      </c>
      <c r="B18" s="13">
        <v>5.5316000000000001</v>
      </c>
      <c r="C18" s="13">
        <v>-0.57640000000000002</v>
      </c>
      <c r="D18" s="13">
        <v>30.03</v>
      </c>
      <c r="E18" s="13">
        <v>0.57099999999999995</v>
      </c>
      <c r="F18" s="13">
        <v>101.33</v>
      </c>
      <c r="G18" s="14">
        <v>0.60840000000000005</v>
      </c>
      <c r="I18" s="20">
        <f t="shared" si="1"/>
        <v>2855.8821217948716</v>
      </c>
      <c r="J18" s="20">
        <f t="shared" si="2"/>
        <v>1646.1304550025638</v>
      </c>
      <c r="K18" s="23">
        <f t="shared" si="4"/>
        <v>49.953099999999992</v>
      </c>
      <c r="L18" s="24">
        <f t="shared" si="0"/>
        <v>297.58667564584636</v>
      </c>
      <c r="M18" s="24">
        <f t="shared" si="3"/>
        <v>15708.627369470516</v>
      </c>
    </row>
    <row r="19" spans="1:13" ht="16" thickBot="1" x14ac:dyDescent="0.25">
      <c r="A19" s="15">
        <v>10</v>
      </c>
      <c r="B19" s="7">
        <v>5.4866000000000001</v>
      </c>
      <c r="C19" s="13">
        <v>-0.56279999999999997</v>
      </c>
      <c r="D19" s="7">
        <v>30.05</v>
      </c>
      <c r="E19" s="7">
        <v>0.56799999999999995</v>
      </c>
      <c r="F19" s="7">
        <v>101.87</v>
      </c>
      <c r="G19" s="16">
        <v>0.60589999999999999</v>
      </c>
      <c r="I19" s="20">
        <f t="shared" si="1"/>
        <v>2869.7110216207298</v>
      </c>
      <c r="J19" s="20">
        <f t="shared" si="2"/>
        <v>1615.0733629681465</v>
      </c>
      <c r="K19" s="23">
        <f t="shared" si="4"/>
        <v>55.439699999999995</v>
      </c>
      <c r="L19" s="24">
        <f t="shared" si="0"/>
        <v>294.36688713741597</v>
      </c>
      <c r="M19" s="24">
        <f t="shared" si="3"/>
        <v>17323.700732438661</v>
      </c>
    </row>
    <row r="20" spans="1:13" ht="16" thickTop="1" x14ac:dyDescent="0.2"/>
    <row r="21" spans="1:13" x14ac:dyDescent="0.2">
      <c r="C21" s="21"/>
    </row>
    <row r="22" spans="1:13" x14ac:dyDescent="0.2">
      <c r="B22" t="s">
        <v>20</v>
      </c>
      <c r="C22" s="21"/>
    </row>
    <row r="23" spans="1:13" x14ac:dyDescent="0.2">
      <c r="C23" s="21"/>
    </row>
    <row r="24" spans="1:13" x14ac:dyDescent="0.2">
      <c r="C24" s="21"/>
    </row>
    <row r="25" spans="1:13" x14ac:dyDescent="0.2">
      <c r="C25" s="21"/>
    </row>
    <row r="26" spans="1:13" x14ac:dyDescent="0.2">
      <c r="C26" s="21"/>
    </row>
    <row r="27" spans="1:13" x14ac:dyDescent="0.2">
      <c r="C27" s="21"/>
    </row>
    <row r="28" spans="1:13" x14ac:dyDescent="0.2">
      <c r="C28" s="21"/>
    </row>
    <row r="29" spans="1:13" x14ac:dyDescent="0.2">
      <c r="C29" s="21"/>
    </row>
    <row r="30" spans="1:13" x14ac:dyDescent="0.2">
      <c r="C30" s="21"/>
    </row>
    <row r="31" spans="1:13" x14ac:dyDescent="0.2">
      <c r="C31" s="21"/>
    </row>
    <row r="32" spans="1:13" x14ac:dyDescent="0.2">
      <c r="C32" s="22"/>
    </row>
    <row r="33" spans="3:3" x14ac:dyDescent="0.2">
      <c r="C33" s="22"/>
    </row>
    <row r="49" spans="2:2" x14ac:dyDescent="0.2">
      <c r="B49" t="s">
        <v>21</v>
      </c>
    </row>
    <row r="76" spans="2:2" x14ac:dyDescent="0.2">
      <c r="B76" t="s">
        <v>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Kalorimetrie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Sascha Berens</cp:lastModifiedBy>
  <dcterms:created xsi:type="dcterms:W3CDTF">2016-06-23T19:32:25Z</dcterms:created>
  <dcterms:modified xsi:type="dcterms:W3CDTF">2025-06-08T09:27:14Z</dcterms:modified>
</cp:coreProperties>
</file>