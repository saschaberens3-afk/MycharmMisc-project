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sascha0404/Documents/UNI/Chemie/4. semester/PR-Physikalisch-Chemisches Praktikum/Exp 7_Dampdruck p(T)/"/>
    </mc:Choice>
  </mc:AlternateContent>
  <xr:revisionPtr revIDLastSave="0" documentId="13_ncr:1_{526992F6-284A-9F48-983C-B8183121B78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1" l="1"/>
  <c r="E18" i="1"/>
  <c r="E9" i="1"/>
  <c r="E10" i="1"/>
  <c r="E11" i="1"/>
  <c r="X27" i="1" s="1"/>
  <c r="E12" i="1"/>
  <c r="L28" i="1" s="1"/>
  <c r="E13" i="1"/>
  <c r="L29" i="1" s="1"/>
  <c r="E14" i="1"/>
  <c r="L30" i="1" s="1"/>
  <c r="E15" i="1"/>
  <c r="L31" i="1" s="1"/>
  <c r="E16" i="1"/>
  <c r="X32" i="1" s="1"/>
  <c r="E17" i="1"/>
  <c r="E8" i="1"/>
  <c r="D47" i="1"/>
  <c r="C47" i="1"/>
  <c r="B47" i="1"/>
  <c r="E47" i="1"/>
  <c r="X25" i="1"/>
  <c r="X26" i="1"/>
  <c r="X29" i="1"/>
  <c r="X30" i="1"/>
  <c r="X31" i="1"/>
  <c r="X33" i="1"/>
  <c r="X34" i="1"/>
  <c r="X24" i="1"/>
  <c r="W24" i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L27" i="1"/>
  <c r="L25" i="1"/>
  <c r="L26" i="1"/>
  <c r="L34" i="1"/>
  <c r="B9" i="1"/>
  <c r="B10" i="1" s="1"/>
  <c r="B8" i="1"/>
  <c r="M24" i="1" s="1"/>
  <c r="X28" i="1" l="1"/>
  <c r="M26" i="1"/>
  <c r="B11" i="1"/>
  <c r="M25" i="1"/>
  <c r="L32" i="1"/>
  <c r="L33" i="1"/>
  <c r="M27" i="1" l="1"/>
  <c r="B12" i="1"/>
  <c r="M28" i="1" l="1"/>
  <c r="B13" i="1"/>
  <c r="M29" i="1" l="1"/>
  <c r="B14" i="1"/>
  <c r="M30" i="1" l="1"/>
  <c r="B15" i="1"/>
  <c r="B16" i="1" l="1"/>
  <c r="M31" i="1"/>
  <c r="B17" i="1" l="1"/>
  <c r="M32" i="1"/>
  <c r="B18" i="1" l="1"/>
  <c r="M33" i="1"/>
  <c r="M34" i="1" l="1"/>
</calcChain>
</file>

<file path=xl/sharedStrings.xml><?xml version="1.0" encoding="utf-8"?>
<sst xmlns="http://schemas.openxmlformats.org/spreadsheetml/2006/main" count="39" uniqueCount="37">
  <si>
    <t>p[Start]/(mbar)</t>
  </si>
  <si>
    <t>p[End]/(mbar)</t>
  </si>
  <si>
    <t>Messzeit gesamt/(s)</t>
  </si>
  <si>
    <t>Name:</t>
  </si>
  <si>
    <t>Nr.</t>
  </si>
  <si>
    <t>Abgabe Template Dampfdruck</t>
  </si>
  <si>
    <t>Orange Felder mit eigenenen Daten ausfüllen</t>
  </si>
  <si>
    <t>p wenn LN2-gekühlt</t>
  </si>
  <si>
    <t>Zur Druck-Korrektur:</t>
  </si>
  <si>
    <t>Aufsteigende Temp</t>
  </si>
  <si>
    <t>Absteigende Temp</t>
  </si>
  <si>
    <t>Druck korrigiert / mbar</t>
  </si>
  <si>
    <t>Messzeit/s</t>
  </si>
  <si>
    <t>Temperatur/K</t>
  </si>
  <si>
    <t>Druck wie abgelesen/mbar</t>
  </si>
  <si>
    <t>Sascha Berens</t>
  </si>
  <si>
    <t>p_Start</t>
  </si>
  <si>
    <t>p_Ende</t>
  </si>
  <si>
    <t>Tabelle 3: Werte der linearisierten Auftragung</t>
  </si>
  <si>
    <t>ln(p/p_0)</t>
  </si>
  <si>
    <t>T^-1 [1/K]</t>
  </si>
  <si>
    <t>Tabelle 4: Wertetabelle für den direkten Fit</t>
  </si>
  <si>
    <t>T [K]</t>
  </si>
  <si>
    <t>Formel: p(T) = p0 * exp[ (ΔH_v / R) * (1/T_siede - 1/T) ]</t>
  </si>
  <si>
    <t>ΔH_verd = 17157.27 ± 497.79 J/mol</t>
  </si>
  <si>
    <t xml:space="preserve">        = 17.16 ± 0.50 kJ/mol</t>
  </si>
  <si>
    <t>T_siede = 441.39 ± 69.02 K</t>
  </si>
  <si>
    <t>ΔH_verd = 17831.76 ± 633.11 J/mol</t>
  </si>
  <si>
    <t>T_Siede = 434.72 ± 5.74 K</t>
  </si>
  <si>
    <t>R² = 0.9896</t>
  </si>
  <si>
    <t>p [mbar]</t>
  </si>
  <si>
    <t>r</t>
  </si>
  <si>
    <t>p^Start _Offset /mbar</t>
  </si>
  <si>
    <t>p^Ende _Offset /mbar</t>
  </si>
  <si>
    <t>t_Ende /s</t>
  </si>
  <si>
    <t>T_N2 /K</t>
  </si>
  <si>
    <t>Tabelle 1: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</si>
</sst>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2" borderId="0" xfId="0" applyFill="1"/>
    <xf numFmtId="0" fontId="1" fillId="0" borderId="0" xfId="0" applyFont="1"/>
    <xf numFmtId="0" fontId="3" fillId="0" borderId="0" xfId="1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3" borderId="2" xfId="0" applyFill="1" applyBorder="1"/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0" xfId="0" applyFont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11" xfId="0" applyBorder="1"/>
    <xf numFmtId="164" fontId="0" fillId="0" borderId="0" xfId="0" applyNumberFormat="1"/>
    <xf numFmtId="2" fontId="4" fillId="2" borderId="4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2">
    <cellStyle name="Normal 2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270463</xdr:colOff>
      <xdr:row>20</xdr:row>
      <xdr:rowOff>1</xdr:rowOff>
    </xdr:from>
    <xdr:to>
      <xdr:col>5</xdr:col>
      <xdr:colOff>837260</xdr:colOff>
      <xdr:row>43</xdr:row>
      <xdr:rowOff>150525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FED28159-C7F5-1EFD-6A03-8902DD751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667" y="3857038"/>
          <a:ext cx="7175500" cy="44704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35</xdr:row>
      <xdr:rowOff>0</xdr:rowOff>
    </xdr:from>
    <xdr:to>
      <xdr:col>18</xdr:col>
      <xdr:colOff>389467</xdr:colOff>
      <xdr:row>56</xdr:row>
      <xdr:rowOff>26035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90FAC56-45C6-586F-C6D7-A9FC361DF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83067" y="6773333"/>
          <a:ext cx="5943600" cy="3937635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30</xdr:col>
      <xdr:colOff>258233</xdr:colOff>
      <xdr:row>63</xdr:row>
      <xdr:rowOff>169333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311B339E-D652-0B8D-7D8F-43A9B747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25733" y="6773333"/>
          <a:ext cx="7200900" cy="5384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69"/>
  <sheetViews>
    <sheetView tabSelected="1" zoomScale="68" zoomScaleNormal="90" workbookViewId="0">
      <selection activeCell="X24" sqref="X24"/>
    </sheetView>
  </sheetViews>
  <sheetFormatPr baseColWidth="10" defaultColWidth="9.1640625" defaultRowHeight="15" x14ac:dyDescent="0.2"/>
  <cols>
    <col min="1" max="1" width="7.5" customWidth="1"/>
    <col min="2" max="2" width="19.33203125" customWidth="1"/>
    <col min="3" max="3" width="21.5" customWidth="1"/>
    <col min="4" max="4" width="24.33203125" customWidth="1"/>
    <col min="5" max="5" width="21.6640625" customWidth="1"/>
    <col min="6" max="6" width="21.5" customWidth="1"/>
    <col min="8" max="8" width="20.1640625" customWidth="1"/>
    <col min="9" max="9" width="11.83203125" customWidth="1"/>
  </cols>
  <sheetData>
    <row r="2" spans="1:13" ht="19" x14ac:dyDescent="0.25">
      <c r="B2" s="15" t="s">
        <v>5</v>
      </c>
    </row>
    <row r="3" spans="1:13" x14ac:dyDescent="0.2">
      <c r="B3" s="6" t="s">
        <v>6</v>
      </c>
    </row>
    <row r="4" spans="1:13" x14ac:dyDescent="0.2">
      <c r="A4" s="3" t="s">
        <v>3</v>
      </c>
      <c r="B4" s="4" t="s">
        <v>15</v>
      </c>
      <c r="H4" s="5" t="s">
        <v>8</v>
      </c>
    </row>
    <row r="6" spans="1:13" x14ac:dyDescent="0.2">
      <c r="C6" s="9" t="s">
        <v>12</v>
      </c>
    </row>
    <row r="7" spans="1:13" ht="16" thickBot="1" x14ac:dyDescent="0.25">
      <c r="A7" s="8" t="s">
        <v>4</v>
      </c>
      <c r="B7" s="9" t="s">
        <v>13</v>
      </c>
      <c r="D7" s="9" t="s">
        <v>14</v>
      </c>
      <c r="E7" s="9" t="s">
        <v>11</v>
      </c>
      <c r="H7" t="s">
        <v>7</v>
      </c>
      <c r="L7" t="s">
        <v>16</v>
      </c>
      <c r="M7" t="s">
        <v>17</v>
      </c>
    </row>
    <row r="8" spans="1:13" ht="16" thickBot="1" x14ac:dyDescent="0.25">
      <c r="A8" s="16">
        <v>1</v>
      </c>
      <c r="B8" s="10">
        <f>273.15+20</f>
        <v>293.14999999999998</v>
      </c>
      <c r="C8" s="10">
        <v>480</v>
      </c>
      <c r="D8" s="10">
        <v>94.5</v>
      </c>
      <c r="E8" s="26">
        <f>D8-$B$47-($E$47*C8*B8)/$F$47</f>
        <v>95.422747462464741</v>
      </c>
      <c r="F8" s="12" t="s">
        <v>9</v>
      </c>
      <c r="G8" s="25"/>
      <c r="H8" s="2" t="s">
        <v>0</v>
      </c>
      <c r="I8" s="1">
        <v>-1.2</v>
      </c>
      <c r="L8">
        <v>-1.2</v>
      </c>
      <c r="M8">
        <v>0.2</v>
      </c>
    </row>
    <row r="9" spans="1:13" ht="16" thickBot="1" x14ac:dyDescent="0.25">
      <c r="A9" s="17">
        <v>2</v>
      </c>
      <c r="B9" s="7">
        <f>B8+8</f>
        <v>301.14999999999998</v>
      </c>
      <c r="C9" s="7">
        <v>1140</v>
      </c>
      <c r="D9" s="7">
        <v>115.8</v>
      </c>
      <c r="E9" s="26">
        <f t="shared" ref="E9:E18" si="0">D9-$B$47-($E$47*C9*B9)/$F$47</f>
        <v>116.32355558933307</v>
      </c>
      <c r="F9" s="13"/>
      <c r="G9" s="25"/>
      <c r="H9" s="2" t="s">
        <v>1</v>
      </c>
      <c r="I9" s="1">
        <v>0.2</v>
      </c>
    </row>
    <row r="10" spans="1:13" ht="16" thickBot="1" x14ac:dyDescent="0.25">
      <c r="A10" s="17">
        <v>3</v>
      </c>
      <c r="B10" s="7">
        <f t="shared" ref="B10:B13" si="1">B9+8</f>
        <v>309.14999999999998</v>
      </c>
      <c r="C10" s="7">
        <v>1620</v>
      </c>
      <c r="D10" s="7">
        <v>132.69999999999999</v>
      </c>
      <c r="E10" s="26">
        <f t="shared" si="0"/>
        <v>132.91320109439121</v>
      </c>
      <c r="F10" s="13"/>
      <c r="G10" s="25"/>
      <c r="H10" s="2" t="s">
        <v>2</v>
      </c>
      <c r="I10" s="1">
        <v>9180</v>
      </c>
    </row>
    <row r="11" spans="1:13" ht="16" thickBot="1" x14ac:dyDescent="0.25">
      <c r="A11" s="17">
        <v>4</v>
      </c>
      <c r="B11" s="7">
        <f t="shared" si="1"/>
        <v>317.14999999999998</v>
      </c>
      <c r="C11" s="7">
        <v>2220</v>
      </c>
      <c r="D11" s="7">
        <v>160.1</v>
      </c>
      <c r="E11" s="26">
        <f t="shared" si="0"/>
        <v>159.91272652041005</v>
      </c>
      <c r="F11" s="13"/>
      <c r="G11" s="25"/>
    </row>
    <row r="12" spans="1:13" ht="16" thickBot="1" x14ac:dyDescent="0.25">
      <c r="A12" s="17">
        <v>5</v>
      </c>
      <c r="B12" s="7">
        <f t="shared" si="1"/>
        <v>325.14999999999998</v>
      </c>
      <c r="C12" s="7">
        <v>2940</v>
      </c>
      <c r="D12" s="7">
        <v>186.5</v>
      </c>
      <c r="E12" s="26">
        <f t="shared" si="0"/>
        <v>185.8164572461198</v>
      </c>
      <c r="F12" s="13"/>
      <c r="G12" s="25"/>
    </row>
    <row r="13" spans="1:13" ht="16" thickBot="1" x14ac:dyDescent="0.25">
      <c r="A13" s="18">
        <v>6</v>
      </c>
      <c r="B13" s="7">
        <f t="shared" si="1"/>
        <v>333.15</v>
      </c>
      <c r="C13" s="11">
        <v>3720</v>
      </c>
      <c r="D13" s="11">
        <v>233.6</v>
      </c>
      <c r="E13" s="26">
        <f t="shared" si="0"/>
        <v>232.35810406850078</v>
      </c>
      <c r="F13" s="14"/>
      <c r="G13" s="25"/>
    </row>
    <row r="14" spans="1:13" ht="16" thickBot="1" x14ac:dyDescent="0.25">
      <c r="A14" s="16">
        <v>7</v>
      </c>
      <c r="B14" s="7">
        <f>B13-8</f>
        <v>325.14999999999998</v>
      </c>
      <c r="C14" s="10">
        <v>6180</v>
      </c>
      <c r="D14" s="7">
        <v>187.3</v>
      </c>
      <c r="E14" s="26">
        <f t="shared" si="0"/>
        <v>184.54071625204776</v>
      </c>
      <c r="F14" s="12" t="s">
        <v>10</v>
      </c>
      <c r="G14" s="25"/>
    </row>
    <row r="15" spans="1:13" ht="16" thickBot="1" x14ac:dyDescent="0.25">
      <c r="A15" s="17">
        <v>8</v>
      </c>
      <c r="B15" s="7">
        <f t="shared" ref="B15:B18" si="2">B14-8</f>
        <v>317.14999999999998</v>
      </c>
      <c r="C15" s="7">
        <v>6900</v>
      </c>
      <c r="D15" s="7">
        <v>160.6</v>
      </c>
      <c r="E15" s="26">
        <f t="shared" si="0"/>
        <v>157.48820404992313</v>
      </c>
      <c r="F15" s="13"/>
      <c r="G15" s="25"/>
    </row>
    <row r="16" spans="1:13" ht="16" thickBot="1" x14ac:dyDescent="0.25">
      <c r="A16" s="17">
        <v>9</v>
      </c>
      <c r="B16" s="7">
        <f t="shared" si="2"/>
        <v>309.14999999999998</v>
      </c>
      <c r="C16" s="7">
        <v>7440</v>
      </c>
      <c r="D16" s="7">
        <v>132.9</v>
      </c>
      <c r="E16" s="26">
        <f t="shared" si="0"/>
        <v>129.56803465572276</v>
      </c>
      <c r="F16" s="13"/>
      <c r="G16" s="25"/>
    </row>
    <row r="17" spans="1:24" ht="16" thickBot="1" x14ac:dyDescent="0.25">
      <c r="A17" s="17">
        <v>10</v>
      </c>
      <c r="B17" s="7">
        <f t="shared" si="2"/>
        <v>301.14999999999998</v>
      </c>
      <c r="C17" s="7">
        <v>8340</v>
      </c>
      <c r="D17" s="7">
        <v>117.1</v>
      </c>
      <c r="E17" s="26">
        <f t="shared" si="0"/>
        <v>113.3512751009103</v>
      </c>
      <c r="F17" s="13"/>
      <c r="G17" s="25"/>
    </row>
    <row r="18" spans="1:24" ht="16" thickBot="1" x14ac:dyDescent="0.25">
      <c r="A18" s="18">
        <v>11</v>
      </c>
      <c r="B18" s="7">
        <f t="shared" si="2"/>
        <v>293.14999999999998</v>
      </c>
      <c r="C18" s="11">
        <v>9180</v>
      </c>
      <c r="D18" s="11">
        <v>96.6</v>
      </c>
      <c r="E18" s="26">
        <f>D18-$B$47-($E$47*C18*B18)/$F$47</f>
        <v>92.497545219638241</v>
      </c>
      <c r="F18" s="14"/>
      <c r="G18" s="25"/>
    </row>
    <row r="21" spans="1:24" x14ac:dyDescent="0.2">
      <c r="H21" s="27"/>
      <c r="I21" s="27"/>
      <c r="K21" t="s">
        <v>18</v>
      </c>
      <c r="V21" t="s">
        <v>21</v>
      </c>
    </row>
    <row r="22" spans="1:24" x14ac:dyDescent="0.2">
      <c r="H22" s="27"/>
      <c r="I22" s="27"/>
    </row>
    <row r="23" spans="1:24" x14ac:dyDescent="0.2">
      <c r="H23" s="28"/>
      <c r="I23" s="28"/>
      <c r="K23" s="21" t="s">
        <v>4</v>
      </c>
      <c r="L23" s="21" t="s">
        <v>19</v>
      </c>
      <c r="M23" s="21" t="s">
        <v>20</v>
      </c>
      <c r="V23" s="21" t="s">
        <v>4</v>
      </c>
      <c r="W23" s="21" t="s">
        <v>22</v>
      </c>
      <c r="X23" s="21" t="s">
        <v>30</v>
      </c>
    </row>
    <row r="24" spans="1:24" x14ac:dyDescent="0.2">
      <c r="H24" s="28"/>
      <c r="I24" s="28"/>
      <c r="K24" s="21">
        <v>1</v>
      </c>
      <c r="L24" s="22">
        <f>LN(E8/101325)</f>
        <v>-6.9677714584625079</v>
      </c>
      <c r="M24" s="23">
        <f>1/B8</f>
        <v>3.4112229234180458E-3</v>
      </c>
      <c r="V24" s="21">
        <v>1</v>
      </c>
      <c r="W24" s="19">
        <f>273.15+20</f>
        <v>293.14999999999998</v>
      </c>
      <c r="X24" s="21">
        <f>E8</f>
        <v>95.422747462464741</v>
      </c>
    </row>
    <row r="25" spans="1:24" x14ac:dyDescent="0.2">
      <c r="H25" s="29"/>
      <c r="I25" s="28"/>
      <c r="K25" s="21">
        <v>2</v>
      </c>
      <c r="L25" s="22">
        <f>LN(E9/101325)</f>
        <v>-6.769712870869899</v>
      </c>
      <c r="M25" s="23">
        <f t="shared" ref="M25:M34" si="3">1/B9</f>
        <v>3.3206043499916988E-3</v>
      </c>
      <c r="V25" s="21">
        <v>2</v>
      </c>
      <c r="W25" s="19">
        <f>W24+8</f>
        <v>301.14999999999998</v>
      </c>
      <c r="X25" s="21">
        <f>E9</f>
        <v>116.32355558933307</v>
      </c>
    </row>
    <row r="26" spans="1:24" x14ac:dyDescent="0.2">
      <c r="H26" s="29"/>
      <c r="I26" s="28"/>
      <c r="K26" s="21">
        <v>3</v>
      </c>
      <c r="L26" s="22">
        <f>LN(E10/101325)</f>
        <v>-6.6363921596765163</v>
      </c>
      <c r="M26" s="23">
        <f t="shared" si="3"/>
        <v>3.2346757237586934E-3</v>
      </c>
      <c r="V26" s="21">
        <v>3</v>
      </c>
      <c r="W26" s="19">
        <f t="shared" ref="W26:W29" si="4">W25+8</f>
        <v>309.14999999999998</v>
      </c>
      <c r="X26" s="21">
        <f>E10</f>
        <v>132.91320109439121</v>
      </c>
    </row>
    <row r="27" spans="1:24" x14ac:dyDescent="0.2">
      <c r="H27" s="29"/>
      <c r="I27" s="28"/>
      <c r="K27" s="21">
        <v>4</v>
      </c>
      <c r="L27" s="22">
        <f>LN(E11/101325)</f>
        <v>-6.4514602443271327</v>
      </c>
      <c r="M27" s="23">
        <f t="shared" si="3"/>
        <v>3.1530821377896896E-3</v>
      </c>
      <c r="V27" s="21">
        <v>4</v>
      </c>
      <c r="W27" s="19">
        <f t="shared" si="4"/>
        <v>317.14999999999998</v>
      </c>
      <c r="X27" s="21">
        <f>E11</f>
        <v>159.91272652041005</v>
      </c>
    </row>
    <row r="28" spans="1:24" x14ac:dyDescent="0.2">
      <c r="H28" s="29"/>
      <c r="I28" s="28"/>
      <c r="K28" s="21">
        <v>5</v>
      </c>
      <c r="L28" s="22">
        <f>LN(E12/101325)</f>
        <v>-6.3013290539794617</v>
      </c>
      <c r="M28" s="23">
        <f t="shared" si="3"/>
        <v>3.0755036137167465E-3</v>
      </c>
      <c r="V28" s="21">
        <v>5</v>
      </c>
      <c r="W28" s="19">
        <f t="shared" si="4"/>
        <v>325.14999999999998</v>
      </c>
      <c r="X28" s="21">
        <f>E12</f>
        <v>185.8164572461198</v>
      </c>
    </row>
    <row r="29" spans="1:24" x14ac:dyDescent="0.2">
      <c r="H29" s="29"/>
      <c r="I29" s="28"/>
      <c r="K29" s="21">
        <v>6</v>
      </c>
      <c r="L29" s="22">
        <f>LN(E13/101325)</f>
        <v>-6.0778087178627702</v>
      </c>
      <c r="M29" s="23">
        <f t="shared" si="3"/>
        <v>3.0016509079993999E-3</v>
      </c>
      <c r="V29" s="21">
        <v>6</v>
      </c>
      <c r="W29" s="19">
        <f t="shared" si="4"/>
        <v>333.15</v>
      </c>
      <c r="X29" s="21">
        <f>E13</f>
        <v>232.35810406850078</v>
      </c>
    </row>
    <row r="30" spans="1:24" x14ac:dyDescent="0.2">
      <c r="H30" s="29"/>
      <c r="I30" s="28"/>
      <c r="K30" s="21">
        <v>7</v>
      </c>
      <c r="L30" s="22">
        <f>LN(E14/101325)</f>
        <v>-6.3082183280701827</v>
      </c>
      <c r="M30" s="23">
        <f t="shared" si="3"/>
        <v>3.0755036137167465E-3</v>
      </c>
      <c r="V30" s="24">
        <v>7</v>
      </c>
      <c r="W30" s="19">
        <f>W29-8</f>
        <v>325.14999999999998</v>
      </c>
      <c r="X30" s="21">
        <f>E14</f>
        <v>184.54071625204776</v>
      </c>
    </row>
    <row r="31" spans="1:24" x14ac:dyDescent="0.2">
      <c r="H31" s="29"/>
      <c r="I31" s="28"/>
      <c r="K31" s="21">
        <v>8</v>
      </c>
      <c r="L31" s="22">
        <f>LN(E15/101325)</f>
        <v>-6.4667378909567095</v>
      </c>
      <c r="M31" s="23">
        <f t="shared" si="3"/>
        <v>3.1530821377896896E-3</v>
      </c>
      <c r="V31" s="24">
        <v>8</v>
      </c>
      <c r="W31" s="19">
        <f t="shared" ref="W31:W34" si="5">W30-8</f>
        <v>317.14999999999998</v>
      </c>
      <c r="X31" s="21">
        <f>E15</f>
        <v>157.48820404992313</v>
      </c>
    </row>
    <row r="32" spans="1:24" x14ac:dyDescent="0.2">
      <c r="H32" s="29"/>
      <c r="I32" s="28"/>
      <c r="K32" s="21">
        <v>9</v>
      </c>
      <c r="L32" s="22">
        <f>LN(E16/101325)</f>
        <v>-6.661882344175484</v>
      </c>
      <c r="M32" s="23">
        <f t="shared" si="3"/>
        <v>3.2346757237586934E-3</v>
      </c>
      <c r="V32" s="24">
        <v>9</v>
      </c>
      <c r="W32" s="19">
        <f t="shared" si="5"/>
        <v>309.14999999999998</v>
      </c>
      <c r="X32" s="21">
        <f>E16</f>
        <v>129.56803465572276</v>
      </c>
    </row>
    <row r="33" spans="2:24" x14ac:dyDescent="0.2">
      <c r="H33" s="29"/>
      <c r="I33" s="28"/>
      <c r="K33" s="21">
        <v>10</v>
      </c>
      <c r="L33" s="22">
        <f>LN(E17/101325)</f>
        <v>-6.7955968253701577</v>
      </c>
      <c r="M33" s="23">
        <f t="shared" si="3"/>
        <v>3.3206043499916988E-3</v>
      </c>
      <c r="V33" s="24">
        <v>10</v>
      </c>
      <c r="W33" s="19">
        <f t="shared" si="5"/>
        <v>301.14999999999998</v>
      </c>
      <c r="X33" s="21">
        <f>E17</f>
        <v>113.3512751009103</v>
      </c>
    </row>
    <row r="34" spans="2:24" x14ac:dyDescent="0.2">
      <c r="H34" s="29"/>
      <c r="I34" s="28"/>
      <c r="K34" s="21">
        <v>11</v>
      </c>
      <c r="L34" s="22">
        <f>LN(E18/101325)</f>
        <v>-6.998906345496346</v>
      </c>
      <c r="M34" s="23">
        <f t="shared" si="3"/>
        <v>3.4112229234180458E-3</v>
      </c>
      <c r="V34" s="24">
        <v>11</v>
      </c>
      <c r="W34" s="19">
        <f t="shared" si="5"/>
        <v>293.14999999999998</v>
      </c>
      <c r="X34" s="21">
        <f>E18</f>
        <v>92.497545219638241</v>
      </c>
    </row>
    <row r="35" spans="2:24" x14ac:dyDescent="0.2">
      <c r="H35" s="29"/>
      <c r="I35" s="28"/>
    </row>
    <row r="45" spans="2:24" x14ac:dyDescent="0.2">
      <c r="B45" t="s">
        <v>36</v>
      </c>
    </row>
    <row r="46" spans="2:24" x14ac:dyDescent="0.2">
      <c r="B46" s="20" t="s">
        <v>32</v>
      </c>
      <c r="C46" s="20" t="s">
        <v>33</v>
      </c>
      <c r="D46" s="20" t="s">
        <v>34</v>
      </c>
      <c r="E46" s="20" t="s">
        <v>31</v>
      </c>
      <c r="F46" s="20" t="s">
        <v>35</v>
      </c>
    </row>
    <row r="47" spans="2:24" x14ac:dyDescent="0.2">
      <c r="B47" s="20">
        <f>I8</f>
        <v>-1.2</v>
      </c>
      <c r="C47" s="20">
        <f>I9</f>
        <v>0.2</v>
      </c>
      <c r="D47" s="20">
        <f>I10</f>
        <v>9180</v>
      </c>
      <c r="E47" s="20">
        <f>(I9-(I8))/I10</f>
        <v>1.5250544662309367E-4</v>
      </c>
      <c r="F47" s="20">
        <v>77.400000000000006</v>
      </c>
    </row>
    <row r="60" spans="11:11" x14ac:dyDescent="0.2">
      <c r="K60" t="s">
        <v>24</v>
      </c>
    </row>
    <row r="61" spans="11:11" x14ac:dyDescent="0.2">
      <c r="K61" t="s">
        <v>25</v>
      </c>
    </row>
    <row r="62" spans="11:11" x14ac:dyDescent="0.2">
      <c r="K62" t="s">
        <v>26</v>
      </c>
    </row>
    <row r="66" spans="21:21" x14ac:dyDescent="0.2">
      <c r="U66" t="s">
        <v>23</v>
      </c>
    </row>
    <row r="67" spans="21:21" x14ac:dyDescent="0.2">
      <c r="U67" t="s">
        <v>27</v>
      </c>
    </row>
    <row r="68" spans="21:21" x14ac:dyDescent="0.2">
      <c r="U68" t="s">
        <v>28</v>
      </c>
    </row>
    <row r="69" spans="21:21" x14ac:dyDescent="0.2">
      <c r="U69" t="s">
        <v>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Omicron</dc:creator>
  <cp:lastModifiedBy>Sascha Berens</cp:lastModifiedBy>
  <dcterms:created xsi:type="dcterms:W3CDTF">2016-06-16T12:00:16Z</dcterms:created>
  <dcterms:modified xsi:type="dcterms:W3CDTF">2025-06-20T16:52:29Z</dcterms:modified>
</cp:coreProperties>
</file>