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Auszufüllende Templates/"/>
    </mc:Choice>
  </mc:AlternateContent>
  <xr:revisionPtr revIDLastSave="0" documentId="13_ncr:1_{E2DD506A-8FC2-E940-8857-E7603ED321CD}" xr6:coauthVersionLast="47" xr6:coauthVersionMax="47" xr10:uidLastSave="{00000000-0000-0000-0000-000000000000}"/>
  <bookViews>
    <workbookView xWindow="20" yWindow="500" windowWidth="28800" windowHeight="16280" xr2:uid="{00000000-000D-0000-FFFF-FFFF00000000}"/>
  </bookViews>
  <sheets>
    <sheet name="p(x) und T(x) Template" sheetId="1" r:id="rId1"/>
  </sheets>
  <definedNames>
    <definedName name="solver_eng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" i="1" l="1"/>
  <c r="AL10" i="1"/>
  <c r="AL11" i="1"/>
  <c r="AL12" i="1"/>
  <c r="AL13" i="1"/>
  <c r="AL14" i="1"/>
  <c r="AL15" i="1"/>
  <c r="AL16" i="1"/>
  <c r="AL8" i="1"/>
  <c r="AM8" i="1"/>
  <c r="AM16" i="1"/>
  <c r="AM9" i="1"/>
  <c r="AH10" i="1"/>
  <c r="AH13" i="1"/>
  <c r="AI13" i="1" s="1"/>
  <c r="AH14" i="1"/>
  <c r="AI14" i="1" s="1"/>
  <c r="V10" i="1"/>
  <c r="V11" i="1"/>
  <c r="AH11" i="1" s="1"/>
  <c r="AI11" i="1" s="1"/>
  <c r="V12" i="1"/>
  <c r="W12" i="1" s="1"/>
  <c r="AB12" i="1" s="1"/>
  <c r="V13" i="1"/>
  <c r="V14" i="1"/>
  <c r="W14" i="1" s="1"/>
  <c r="AB14" i="1" s="1"/>
  <c r="V15" i="1"/>
  <c r="W15" i="1" s="1"/>
  <c r="AB15" i="1" s="1"/>
  <c r="V9" i="1"/>
  <c r="AH9" i="1" s="1"/>
  <c r="AI9" i="1" s="1"/>
  <c r="BE9" i="1"/>
  <c r="BE10" i="1"/>
  <c r="BE11" i="1"/>
  <c r="BE12" i="1"/>
  <c r="BE13" i="1"/>
  <c r="BE14" i="1"/>
  <c r="BE15" i="1"/>
  <c r="BE16" i="1"/>
  <c r="BE8" i="1"/>
  <c r="BC15" i="1"/>
  <c r="BC14" i="1"/>
  <c r="BC13" i="1"/>
  <c r="BC12" i="1"/>
  <c r="BC11" i="1"/>
  <c r="BC10" i="1"/>
  <c r="BC9" i="1"/>
  <c r="C111" i="1"/>
  <c r="AU8" i="1"/>
  <c r="AR9" i="1"/>
  <c r="AR10" i="1"/>
  <c r="AR11" i="1"/>
  <c r="AR12" i="1"/>
  <c r="AR13" i="1"/>
  <c r="AR14" i="1"/>
  <c r="AR15" i="1"/>
  <c r="AR16" i="1"/>
  <c r="AR8" i="1"/>
  <c r="M8" i="1" a="1"/>
  <c r="M8" i="1" s="1"/>
  <c r="C28" i="1"/>
  <c r="C29" i="1"/>
  <c r="E105" i="1"/>
  <c r="AN10" i="1"/>
  <c r="AN11" i="1"/>
  <c r="AN14" i="1"/>
  <c r="AN9" i="1"/>
  <c r="AM10" i="1"/>
  <c r="AM11" i="1"/>
  <c r="AM12" i="1"/>
  <c r="AN12" i="1" s="1"/>
  <c r="AM13" i="1"/>
  <c r="AN13" i="1" s="1"/>
  <c r="AM14" i="1"/>
  <c r="AM15" i="1"/>
  <c r="AN15" i="1" s="1"/>
  <c r="AI10" i="1"/>
  <c r="W10" i="1"/>
  <c r="Z10" i="1" s="1"/>
  <c r="AC10" i="1"/>
  <c r="AC11" i="1"/>
  <c r="AC12" i="1"/>
  <c r="AC13" i="1"/>
  <c r="AC14" i="1"/>
  <c r="AC15" i="1"/>
  <c r="AC9" i="1"/>
  <c r="AA10" i="1"/>
  <c r="AA11" i="1"/>
  <c r="AA12" i="1"/>
  <c r="AA13" i="1"/>
  <c r="AA14" i="1"/>
  <c r="AA15" i="1"/>
  <c r="AA9" i="1"/>
  <c r="W11" i="1"/>
  <c r="Z11" i="1" s="1"/>
  <c r="W13" i="1"/>
  <c r="AB13" i="1" s="1"/>
  <c r="D29" i="1"/>
  <c r="D30" i="1"/>
  <c r="D31" i="1"/>
  <c r="D32" i="1"/>
  <c r="D33" i="1"/>
  <c r="D34" i="1"/>
  <c r="D35" i="1"/>
  <c r="D36" i="1"/>
  <c r="D28" i="1"/>
  <c r="C36" i="1"/>
  <c r="C30" i="1"/>
  <c r="C31" i="1"/>
  <c r="C32" i="1"/>
  <c r="C33" i="1"/>
  <c r="C34" i="1"/>
  <c r="C35" i="1"/>
  <c r="B28" i="1"/>
  <c r="AH15" i="1" l="1"/>
  <c r="AI15" i="1" s="1"/>
  <c r="AH12" i="1"/>
  <c r="AI12" i="1" s="1"/>
  <c r="W9" i="1"/>
  <c r="AB9" i="1" s="1"/>
  <c r="Z15" i="1"/>
  <c r="Z14" i="1"/>
  <c r="Z12" i="1"/>
  <c r="Z13" i="1"/>
  <c r="AB11" i="1"/>
  <c r="AB10" i="1"/>
  <c r="Z9" i="1" l="1"/>
  <c r="J9" i="1"/>
  <c r="AS9" i="1" s="1"/>
  <c r="C113" i="1"/>
  <c r="C112" i="1"/>
  <c r="C110" i="1"/>
  <c r="C109" i="1"/>
  <c r="C108" i="1"/>
  <c r="C107" i="1"/>
  <c r="C106" i="1"/>
  <c r="C105" i="1"/>
  <c r="J8" i="1"/>
  <c r="J10" i="1"/>
  <c r="AS10" i="1" s="1"/>
  <c r="J11" i="1"/>
  <c r="AS11" i="1" s="1"/>
  <c r="J12" i="1"/>
  <c r="AS12" i="1" s="1"/>
  <c r="J13" i="1"/>
  <c r="AS13" i="1" s="1"/>
  <c r="J14" i="1"/>
  <c r="AS14" i="1" s="1"/>
  <c r="J15" i="1"/>
  <c r="AS15" i="1" s="1"/>
  <c r="J16" i="1"/>
  <c r="G12" i="1" l="1"/>
  <c r="G9" i="1"/>
  <c r="AS8" i="1"/>
  <c r="G8" i="1"/>
  <c r="F9" i="1"/>
  <c r="E106" i="1" s="1"/>
  <c r="AS16" i="1"/>
  <c r="F13" i="1"/>
  <c r="F16" i="1"/>
  <c r="E113" i="1"/>
  <c r="G36" i="1"/>
  <c r="H36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28" i="1"/>
  <c r="B29" i="1"/>
  <c r="B30" i="1"/>
  <c r="B31" i="1"/>
  <c r="B32" i="1"/>
  <c r="B33" i="1"/>
  <c r="B34" i="1"/>
  <c r="B35" i="1"/>
  <c r="B36" i="1"/>
  <c r="AU13" i="1" l="1"/>
  <c r="AV8" i="1"/>
  <c r="F105" i="1" a="1"/>
  <c r="F105" i="1" s="1"/>
  <c r="I8" i="1"/>
  <c r="AT8" i="1" s="1"/>
  <c r="H9" i="1"/>
  <c r="AV9" i="1"/>
  <c r="AU9" i="1"/>
  <c r="I9" i="1"/>
  <c r="AT9" i="1" s="1"/>
  <c r="AU16" i="1"/>
  <c r="AV12" i="1"/>
  <c r="H28" i="1"/>
  <c r="G10" i="1"/>
  <c r="G11" i="1"/>
  <c r="AV11" i="1" s="1"/>
  <c r="G16" i="1"/>
  <c r="G13" i="1"/>
  <c r="AV13" i="1" s="1"/>
  <c r="G14" i="1"/>
  <c r="AV14" i="1" s="1"/>
  <c r="G15" i="1"/>
  <c r="AV15" i="1" s="1"/>
  <c r="F11" i="1"/>
  <c r="F12" i="1"/>
  <c r="F14" i="1"/>
  <c r="F15" i="1"/>
  <c r="F10" i="1"/>
  <c r="I14" i="1" l="1"/>
  <c r="AU14" i="1"/>
  <c r="AU12" i="1"/>
  <c r="I12" i="1"/>
  <c r="H12" i="1"/>
  <c r="AX13" i="1"/>
  <c r="AW13" i="1" s="1"/>
  <c r="AX9" i="1"/>
  <c r="AW9" i="1" s="1"/>
  <c r="AX8" i="1"/>
  <c r="AW8" i="1" s="1"/>
  <c r="AX10" i="1"/>
  <c r="AX11" i="1"/>
  <c r="AX15" i="1"/>
  <c r="AX14" i="1"/>
  <c r="AX12" i="1"/>
  <c r="AW12" i="1" s="1"/>
  <c r="AX16" i="1"/>
  <c r="AW16" i="1" s="1"/>
  <c r="H16" i="1"/>
  <c r="AV16" i="1"/>
  <c r="I13" i="1"/>
  <c r="AV10" i="1"/>
  <c r="H10" i="1"/>
  <c r="I11" i="1"/>
  <c r="AU11" i="1"/>
  <c r="AY14" i="1"/>
  <c r="AY8" i="1"/>
  <c r="AY15" i="1"/>
  <c r="AY16" i="1"/>
  <c r="AY9" i="1"/>
  <c r="AY13" i="1"/>
  <c r="AY12" i="1"/>
  <c r="AY11" i="1"/>
  <c r="AY10" i="1"/>
  <c r="I10" i="1"/>
  <c r="AU10" i="1"/>
  <c r="I16" i="1"/>
  <c r="I15" i="1"/>
  <c r="AU15" i="1"/>
  <c r="E110" i="1"/>
  <c r="E109" i="1"/>
  <c r="E108" i="1"/>
  <c r="E107" i="1"/>
  <c r="E112" i="1"/>
  <c r="E111" i="1"/>
  <c r="D106" i="1"/>
  <c r="H15" i="1"/>
  <c r="H14" i="1"/>
  <c r="H13" i="1"/>
  <c r="H11" i="1"/>
  <c r="H8" i="1"/>
  <c r="AW11" i="1" l="1"/>
  <c r="AW14" i="1"/>
  <c r="AW15" i="1"/>
  <c r="AT16" i="1"/>
  <c r="D113" i="1"/>
  <c r="AW10" i="1"/>
  <c r="G105" i="1" a="1"/>
  <c r="G105" i="1" s="1"/>
  <c r="D105" i="1"/>
  <c r="D109" i="1" l="1"/>
  <c r="AT12" i="1"/>
  <c r="D107" i="1"/>
  <c r="AT10" i="1"/>
  <c r="D111" i="1"/>
  <c r="AT14" i="1"/>
  <c r="D110" i="1"/>
  <c r="AT13" i="1"/>
  <c r="D112" i="1"/>
  <c r="AT15" i="1"/>
  <c r="D108" i="1"/>
  <c r="AT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<sst xmlns="http://schemas.openxmlformats.org/spreadsheetml/2006/main" count="108" uniqueCount="101">
  <si>
    <t>Name</t>
  </si>
  <si>
    <t>Gruppe/Nummer</t>
  </si>
  <si>
    <t>Molvolumenverhältnis</t>
  </si>
  <si>
    <r>
      <t xml:space="preserve"> (V</t>
    </r>
    <r>
      <rPr>
        <vertAlign val="subscript"/>
        <sz val="11"/>
        <color indexed="8"/>
        <rFont val="Calibri"/>
        <family val="2"/>
      </rPr>
      <t>m,B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1"/>
        <color indexed="8"/>
        <rFont val="Calibri"/>
        <family val="2"/>
      </rPr>
      <t>m,A</t>
    </r>
    <r>
      <rPr>
        <sz val="11"/>
        <color theme="1"/>
        <rFont val="Calibri"/>
        <family val="2"/>
        <scheme val="minor"/>
      </rPr>
      <t>)</t>
    </r>
  </si>
  <si>
    <t>(z.B. Q3)</t>
  </si>
  <si>
    <t>GC-Peakfläche Substanz B</t>
  </si>
  <si>
    <t>GC-Peakfläche Substanz A</t>
  </si>
  <si>
    <t>Peakfläche Substanz B</t>
  </si>
  <si>
    <t>Zusammen mit dem Protokoll im OLAT hochladen</t>
  </si>
  <si>
    <t>p / mbar =</t>
  </si>
  <si>
    <t>Siedediagramm-Messung</t>
  </si>
  <si>
    <r>
      <t xml:space="preserve">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</si>
  <si>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T</t>
    </r>
    <r>
      <rPr>
        <vertAlign val="subscript"/>
        <sz val="11"/>
        <color theme="1"/>
        <rFont val="Calibri"/>
        <family val="2"/>
        <scheme val="minor"/>
      </rPr>
      <t>Siede</t>
    </r>
    <r>
      <rPr>
        <sz val="11"/>
        <color theme="1"/>
        <rFont val="Calibri"/>
        <family val="2"/>
        <scheme val="minor"/>
      </rPr>
      <t xml:space="preserve"> / °C</t>
    </r>
  </si>
  <si>
    <t>Mischungen</t>
  </si>
  <si>
    <r>
      <rPr>
        <i/>
        <sz val="11"/>
        <color indexed="8"/>
        <rFont val="Calibri"/>
        <family val="2"/>
      </rPr>
      <t>V</t>
    </r>
    <r>
      <rPr>
        <i/>
        <vertAlign val="subscript"/>
        <sz val="11"/>
        <color indexed="8"/>
        <rFont val="Calibri"/>
        <family val="2"/>
      </rPr>
      <t>A</t>
    </r>
    <r>
      <rPr>
        <sz val="11"/>
        <color indexed="8"/>
        <rFont val="Calibri"/>
        <family val="2"/>
      </rPr>
      <t xml:space="preserve"> / ml              </t>
    </r>
  </si>
  <si>
    <r>
      <rPr>
        <i/>
        <sz val="11"/>
        <color indexed="8"/>
        <rFont val="Calibri"/>
        <family val="2"/>
      </rPr>
      <t>V</t>
    </r>
    <r>
      <rPr>
        <vertAlign val="subscript"/>
        <sz val="11"/>
        <color indexed="8"/>
        <rFont val="Calibri"/>
        <family val="2"/>
      </rPr>
      <t>B</t>
    </r>
    <r>
      <rPr>
        <sz val="11"/>
        <color indexed="8"/>
        <rFont val="Calibri"/>
        <family val="2"/>
      </rPr>
      <t xml:space="preserve"> / ml              </t>
    </r>
  </si>
  <si>
    <t>Fit-Ergebnisse</t>
  </si>
  <si>
    <r>
      <rPr>
        <b/>
        <sz val="11"/>
        <color indexed="8"/>
        <rFont val="Symbol"/>
        <family val="1"/>
        <charset val="2"/>
      </rPr>
      <t xml:space="preserve">W  </t>
    </r>
    <r>
      <rPr>
        <b/>
        <sz val="11"/>
        <color indexed="8"/>
        <rFont val="Calibri"/>
        <family val="2"/>
      </rPr>
      <t xml:space="preserve">  / J mol</t>
    </r>
    <r>
      <rPr>
        <b/>
        <vertAlign val="superscript"/>
        <sz val="11"/>
        <color indexed="8"/>
        <rFont val="Calibri"/>
        <family val="2"/>
      </rPr>
      <t>-1</t>
    </r>
  </si>
  <si>
    <t>Alle orangen Zellen ausfüllen!</t>
  </si>
  <si>
    <t>* Einheiten</t>
  </si>
  <si>
    <t>* Indices (was ist A, was ist B?)</t>
  </si>
  <si>
    <t>BEACHTE:</t>
  </si>
  <si>
    <t>Benennung der Datei nach Filenamenkonvention (s. OLAT)</t>
  </si>
  <si>
    <t>Peakfläche Substanz  A</t>
  </si>
  <si>
    <r>
      <t xml:space="preserve">         Molenbrüche (flüssig)         </t>
    </r>
    <r>
      <rPr>
        <sz val="12"/>
        <color theme="1"/>
        <rFont val="Calibri"/>
        <family val="2"/>
        <scheme val="minor"/>
      </rPr>
      <t>x</t>
    </r>
    <r>
      <rPr>
        <vertAlign val="sub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indexed="8"/>
        <rFont val="Calibri"/>
        <family val="2"/>
      </rPr>
      <t>x</t>
    </r>
    <r>
      <rPr>
        <vertAlign val="subscript"/>
        <sz val="12"/>
        <color rgb="FF000000"/>
        <rFont val="Calibri"/>
        <family val="2"/>
      </rPr>
      <t>B</t>
    </r>
    <r>
      <rPr>
        <sz val="12"/>
        <color indexed="8"/>
        <rFont val="Calibri"/>
        <family val="2"/>
      </rPr>
      <t>)</t>
    </r>
    <r>
      <rPr>
        <vertAlign val="superscript"/>
        <sz val="11"/>
        <color indexed="8"/>
        <rFont val="Calibri"/>
        <family val="2"/>
      </rPr>
      <t xml:space="preserve">            </t>
    </r>
    <r>
      <rPr>
        <sz val="11"/>
        <color indexed="8"/>
        <rFont val="Calibri"/>
        <family val="2"/>
      </rPr>
      <t xml:space="preserve">                                        (bzgl A steigend geordnet)</t>
    </r>
  </si>
  <si>
    <r>
      <t>gemessener p</t>
    </r>
    <r>
      <rPr>
        <vertAlign val="subscript"/>
        <sz val="11"/>
        <color rgb="FF000000"/>
        <rFont val="Calibri"/>
        <family val="2"/>
      </rPr>
      <t>Ges</t>
    </r>
    <r>
      <rPr>
        <sz val="11"/>
        <color rgb="FF000000"/>
        <rFont val="Calibri"/>
        <family val="2"/>
      </rPr>
      <t xml:space="preserve"> / mbar</t>
    </r>
  </si>
  <si>
    <r>
      <t>berechneter  p</t>
    </r>
    <r>
      <rPr>
        <vertAlign val="subscript"/>
        <sz val="11"/>
        <color theme="1"/>
        <rFont val="Calibri"/>
        <family val="2"/>
        <scheme val="minor"/>
      </rPr>
      <t>Ges</t>
    </r>
    <r>
      <rPr>
        <sz val="11"/>
        <color theme="1"/>
        <rFont val="Calibri"/>
        <family val="2"/>
        <scheme val="minor"/>
      </rPr>
      <t xml:space="preserve"> / mbar</t>
    </r>
  </si>
  <si>
    <t>Kalibrierung Gaschromatographie für T(x)</t>
  </si>
  <si>
    <t>Dampfdruckdaten p(x)</t>
  </si>
  <si>
    <r>
      <t xml:space="preserve">berechneter Partialdruck A /mbar auf Basis </t>
    </r>
    <r>
      <rPr>
        <sz val="11"/>
        <color theme="1"/>
        <rFont val="Symbol"/>
        <family val="1"/>
        <charset val="2"/>
      </rPr>
      <t xml:space="preserve">W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</si>
  <si>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berechneter Partialdruck B /mbar auf Basis </t>
    </r>
    <r>
      <rPr>
        <sz val="11"/>
        <color theme="1"/>
        <rFont val="Symbol"/>
        <family val="1"/>
        <charset val="2"/>
      </rPr>
      <t>W</t>
    </r>
  </si>
  <si>
    <r>
      <t xml:space="preserve">berechneter 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  <r>
      <rPr>
        <vertAlign val="subscript"/>
        <sz val="11"/>
        <color theme="1"/>
        <rFont val="Calibri"/>
        <family val="2"/>
        <scheme val="minor"/>
      </rPr>
      <t>,theo</t>
    </r>
  </si>
  <si>
    <t xml:space="preserve"> </t>
  </si>
  <si>
    <t>Sascha Berens</t>
  </si>
  <si>
    <t>F1</t>
  </si>
  <si>
    <t>R</t>
  </si>
  <si>
    <t>T</t>
  </si>
  <si>
    <t>K</t>
  </si>
  <si>
    <t>J/mol*K</t>
  </si>
  <si>
    <t xml:space="preserve"> T / °C =80</t>
  </si>
  <si>
    <t>Aktivitätskoeffizient yB</t>
  </si>
  <si>
    <t>Aktivitätskoeffizient yA:</t>
  </si>
  <si>
    <t>Berechnung: Dampf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</si>
  <si>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</si>
  <si>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Tabelle 3:</t>
  </si>
  <si>
    <t>x_exp</t>
  </si>
  <si>
    <t>p_ges,exp</t>
  </si>
  <si>
    <t>p_ges,theo</t>
  </si>
  <si>
    <t>p_A,theo</t>
  </si>
  <si>
    <t>p_B,theo</t>
  </si>
  <si>
    <t>y_theo</t>
  </si>
  <si>
    <t>x_B</t>
  </si>
  <si>
    <t>ln(y_A)</t>
  </si>
  <si>
    <t>ln(y_B)</t>
  </si>
  <si>
    <t>Model:</t>
  </si>
  <si>
    <t>Equation:</t>
  </si>
  <si>
    <t>Plot:</t>
  </si>
  <si>
    <t>p(x) (Sascha Berens)</t>
  </si>
  <si>
    <t xml:space="preserve">Tabelle 4: </t>
  </si>
  <si>
    <t>x_A</t>
  </si>
  <si>
    <t>F_A</t>
  </si>
  <si>
    <t>F_B</t>
  </si>
  <si>
    <t>x_A/x_B</t>
  </si>
  <si>
    <t>F_A/F_B</t>
  </si>
  <si>
    <t>x_B/x_A</t>
  </si>
  <si>
    <t>F_B/F_A</t>
  </si>
  <si>
    <t>Graph 1</t>
  </si>
  <si>
    <t>graph 2</t>
  </si>
  <si>
    <t>Graph 3</t>
  </si>
  <si>
    <t>Graph 4</t>
  </si>
  <si>
    <t>Graph 5&amp;6</t>
  </si>
  <si>
    <t>Fehler???</t>
  </si>
  <si>
    <t>Tabelle 5:</t>
  </si>
  <si>
    <t>F_A,vap</t>
  </si>
  <si>
    <t>F_B,vap</t>
  </si>
  <si>
    <t>T_bp [K]</t>
  </si>
  <si>
    <t>y_A,vap</t>
  </si>
  <si>
    <t>y_B,vap</t>
  </si>
  <si>
    <t>Interpolation???</t>
  </si>
  <si>
    <t>Mischungsdampfdruck: p gegen x_A</t>
  </si>
  <si>
    <t>R-squared</t>
  </si>
  <si>
    <t>Adj. R-squared</t>
  </si>
  <si>
    <t>Reduced Chi²</t>
  </si>
  <si>
    <t xml:space="preserve">Omega + Fehler </t>
  </si>
  <si>
    <t xml:space="preserve">Tabelle 2: </t>
  </si>
  <si>
    <t>p_ges,exp [Pa]</t>
  </si>
  <si>
    <t>p_ges,theo [Pa]</t>
  </si>
  <si>
    <t>p_A,theo[Pa]</t>
  </si>
  <si>
    <t>p_ges,ideal[Pa]</t>
  </si>
  <si>
    <t xml:space="preserve">p_A,ideal [Pa] </t>
  </si>
  <si>
    <t>p_B,theo[Pa]</t>
  </si>
  <si>
    <t>Tabelle 1:</t>
  </si>
  <si>
    <t>V_A [ml]</t>
  </si>
  <si>
    <t>V_B [ml]</t>
  </si>
  <si>
    <t>p_B,ideal [Pa]</t>
  </si>
  <si>
    <t>--- Bereich: x_A/x_B &lt; 0,5 ---</t>
  </si>
  <si>
    <t>Steigung m = 1.1679 ± 0.1207</t>
  </si>
  <si>
    <t>y-Achsenabschnitt b = 0.0275 ± 0.0231</t>
  </si>
  <si>
    <t>--- Bereich: x_A/x_B &gt; 0,5 ---</t>
  </si>
  <si>
    <t>Steigung m = 1.2641 ± 0.0484</t>
  </si>
  <si>
    <t>y-Achsenabschnitt b = -0.0219 ± 0.0521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</si>
</sst>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indexed="8"/>
      <name val="Calibri"/>
      <family val="2"/>
    </font>
    <font>
      <b/>
      <sz val="11"/>
      <color indexed="8"/>
      <name val="Symbol"/>
      <family val="1"/>
      <charset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vertAlign val="superscript"/>
      <sz val="11"/>
      <color indexed="8"/>
      <name val="Calibri"/>
      <family val="2"/>
    </font>
    <font>
      <i/>
      <sz val="12"/>
      <color indexed="8"/>
      <name val="Calibri"/>
      <family val="2"/>
    </font>
    <font>
      <sz val="12"/>
      <color indexed="8"/>
      <name val="Calibri"/>
      <family val="2"/>
    </font>
    <font>
      <vertAlign val="subscript"/>
      <sz val="12"/>
      <color theme="1"/>
      <name val="Calibri"/>
      <family val="2"/>
      <scheme val="minor"/>
    </font>
    <font>
      <vertAlign val="subscript"/>
      <sz val="12"/>
      <color rgb="FF000000"/>
      <name val="Calibri"/>
      <family val="2"/>
    </font>
    <font>
      <b/>
      <sz val="11"/>
      <color indexed="8"/>
      <name val="Calibri"/>
      <family val="1"/>
      <charset val="2"/>
    </font>
    <font>
      <sz val="11"/>
      <color theme="1"/>
      <name val="Symbol"/>
      <family val="1"/>
      <charset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6" fillId="0" borderId="1" xfId="0" applyFont="1" applyBorder="1"/>
    <xf numFmtId="0" fontId="0" fillId="0" borderId="6" xfId="0" applyBorder="1" applyAlignment="1">
      <alignment horizontal="center"/>
    </xf>
    <xf numFmtId="0" fontId="6" fillId="0" borderId="3" xfId="0" applyFont="1" applyBorder="1"/>
    <xf numFmtId="0" fontId="0" fillId="0" borderId="4" xfId="0" applyBorder="1" applyAlignment="1">
      <alignment horizontal="center"/>
    </xf>
    <xf numFmtId="0" fontId="6" fillId="0" borderId="2" xfId="0" applyFont="1" applyBorder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0" fillId="0" borderId="16" xfId="0" applyBorder="1" applyAlignment="1">
      <alignment horizontal="right" vertical="top" wrapText="1"/>
    </xf>
    <xf numFmtId="0" fontId="0" fillId="0" borderId="17" xfId="0" applyBorder="1" applyAlignment="1">
      <alignment horizontal="right" vertical="top" wrapText="1"/>
    </xf>
    <xf numFmtId="0" fontId="0" fillId="0" borderId="18" xfId="0" applyBorder="1" applyAlignment="1">
      <alignment horizontal="right" vertical="top" wrapText="1"/>
    </xf>
    <xf numFmtId="0" fontId="0" fillId="0" borderId="19" xfId="0" applyBorder="1" applyAlignment="1">
      <alignment horizontal="right" vertical="top" wrapText="1"/>
    </xf>
    <xf numFmtId="0" fontId="0" fillId="0" borderId="6" xfId="0" applyBorder="1"/>
    <xf numFmtId="2" fontId="0" fillId="0" borderId="12" xfId="0" quotePrefix="1" applyNumberFormat="1" applyBorder="1" applyAlignment="1">
      <alignment horizontal="right"/>
    </xf>
    <xf numFmtId="2" fontId="0" fillId="0" borderId="7" xfId="0" quotePrefix="1" applyNumberFormat="1" applyBorder="1" applyAlignment="1">
      <alignment horizontal="right"/>
    </xf>
    <xf numFmtId="2" fontId="0" fillId="0" borderId="14" xfId="0" quotePrefix="1" applyNumberFormat="1" applyBorder="1" applyAlignment="1">
      <alignment horizontal="right"/>
    </xf>
    <xf numFmtId="2" fontId="0" fillId="0" borderId="13" xfId="0" quotePrefix="1" applyNumberFormat="1" applyBorder="1" applyAlignment="1">
      <alignment horizontal="right"/>
    </xf>
    <xf numFmtId="2" fontId="0" fillId="0" borderId="8" xfId="0" quotePrefix="1" applyNumberFormat="1" applyBorder="1" applyAlignment="1">
      <alignment horizontal="right"/>
    </xf>
    <xf numFmtId="2" fontId="0" fillId="0" borderId="15" xfId="0" quotePrefix="1" applyNumberFormat="1" applyBorder="1" applyAlignment="1">
      <alignment horizontal="right"/>
    </xf>
    <xf numFmtId="0" fontId="11" fillId="2" borderId="22" xfId="0" applyFont="1" applyFill="1" applyBorder="1"/>
    <xf numFmtId="0" fontId="11" fillId="2" borderId="23" xfId="0" applyFont="1" applyFill="1" applyBorder="1"/>
    <xf numFmtId="0" fontId="13" fillId="2" borderId="0" xfId="0" applyFont="1" applyFill="1"/>
    <xf numFmtId="0" fontId="12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/>
    <xf numFmtId="0" fontId="11" fillId="2" borderId="21" xfId="0" applyFont="1" applyFill="1" applyBorder="1" applyAlignment="1">
      <alignment horizontal="left"/>
    </xf>
    <xf numFmtId="165" fontId="0" fillId="3" borderId="12" xfId="0" applyNumberFormat="1" applyFill="1" applyBorder="1"/>
    <xf numFmtId="164" fontId="0" fillId="3" borderId="14" xfId="0" applyNumberFormat="1" applyFill="1" applyBorder="1" applyProtection="1">
      <protection locked="0"/>
    </xf>
    <xf numFmtId="2" fontId="0" fillId="3" borderId="7" xfId="0" applyNumberFormat="1" applyFill="1" applyBorder="1"/>
    <xf numFmtId="2" fontId="0" fillId="3" borderId="3" xfId="0" applyNumberFormat="1" applyFill="1" applyBorder="1"/>
    <xf numFmtId="2" fontId="0" fillId="3" borderId="4" xfId="0" applyNumberFormat="1" applyFill="1" applyBorder="1"/>
    <xf numFmtId="2" fontId="0" fillId="3" borderId="0" xfId="0" applyNumberFormat="1" applyFill="1"/>
    <xf numFmtId="165" fontId="0" fillId="3" borderId="14" xfId="0" applyNumberFormat="1" applyFill="1" applyBorder="1"/>
    <xf numFmtId="164" fontId="0" fillId="3" borderId="7" xfId="0" applyNumberFormat="1" applyFill="1" applyBorder="1"/>
    <xf numFmtId="164" fontId="0" fillId="3" borderId="4" xfId="0" applyNumberFormat="1" applyFill="1" applyBorder="1"/>
    <xf numFmtId="0" fontId="0" fillId="3" borderId="2" xfId="0" applyFill="1" applyBorder="1" applyProtection="1">
      <protection locked="0"/>
    </xf>
    <xf numFmtId="165" fontId="0" fillId="3" borderId="25" xfId="0" applyNumberFormat="1" applyFill="1" applyBorder="1"/>
    <xf numFmtId="164" fontId="0" fillId="3" borderId="20" xfId="0" applyNumberFormat="1" applyFill="1" applyBorder="1" applyProtection="1">
      <protection locked="0"/>
    </xf>
    <xf numFmtId="2" fontId="0" fillId="3" borderId="24" xfId="0" applyNumberFormat="1" applyFill="1" applyBorder="1"/>
    <xf numFmtId="165" fontId="0" fillId="3" borderId="13" xfId="0" applyNumberFormat="1" applyFill="1" applyBorder="1"/>
    <xf numFmtId="164" fontId="0" fillId="3" borderId="15" xfId="0" applyNumberFormat="1" applyFill="1" applyBorder="1" applyProtection="1">
      <protection locked="0"/>
    </xf>
    <xf numFmtId="2" fontId="0" fillId="3" borderId="8" xfId="0" applyNumberFormat="1" applyFill="1" applyBorder="1"/>
    <xf numFmtId="165" fontId="0" fillId="3" borderId="20" xfId="0" applyNumberFormat="1" applyFill="1" applyBorder="1"/>
    <xf numFmtId="164" fontId="0" fillId="3" borderId="24" xfId="0" applyNumberFormat="1" applyFill="1" applyBorder="1"/>
    <xf numFmtId="165" fontId="0" fillId="3" borderId="15" xfId="0" applyNumberFormat="1" applyFill="1" applyBorder="1"/>
    <xf numFmtId="164" fontId="0" fillId="3" borderId="8" xfId="0" applyNumberFormat="1" applyFill="1" applyBorder="1"/>
    <xf numFmtId="0" fontId="0" fillId="3" borderId="10" xfId="0" applyFill="1" applyBorder="1"/>
    <xf numFmtId="164" fontId="0" fillId="3" borderId="5" xfId="0" applyNumberFormat="1" applyFill="1" applyBorder="1"/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19" fillId="0" borderId="26" xfId="0" applyFont="1" applyBorder="1"/>
    <xf numFmtId="0" fontId="21" fillId="0" borderId="17" xfId="0" applyFont="1" applyBorder="1" applyAlignment="1">
      <alignment horizontal="right" vertical="top" wrapText="1"/>
    </xf>
    <xf numFmtId="165" fontId="0" fillId="3" borderId="27" xfId="0" applyNumberFormat="1" applyFill="1" applyBorder="1"/>
    <xf numFmtId="0" fontId="0" fillId="4" borderId="10" xfId="0" applyFill="1" applyBorder="1" applyAlignment="1">
      <alignment horizontal="center"/>
    </xf>
    <xf numFmtId="2" fontId="0" fillId="0" borderId="0" xfId="0" applyNumberFormat="1"/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2" fontId="0" fillId="3" borderId="28" xfId="0" applyNumberFormat="1" applyFill="1" applyBorder="1"/>
    <xf numFmtId="165" fontId="0" fillId="0" borderId="0" xfId="0" applyNumberFormat="1" applyProtection="1">
      <protection locked="0"/>
    </xf>
    <xf numFmtId="2" fontId="0" fillId="0" borderId="3" xfId="0" applyNumberFormat="1" applyBorder="1"/>
    <xf numFmtId="0" fontId="0" fillId="0" borderId="18" xfId="0" applyBorder="1" applyAlignment="1" applyProtection="1">
      <alignment horizontal="center"/>
      <protection locked="0"/>
    </xf>
    <xf numFmtId="2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165" fontId="0" fillId="5" borderId="19" xfId="0" applyNumberFormat="1" applyFill="1" applyBorder="1" applyAlignment="1" applyProtection="1">
      <alignment horizontal="center"/>
      <protection locked="0"/>
    </xf>
    <xf numFmtId="165" fontId="0" fillId="0" borderId="18" xfId="0" applyNumberFormat="1" applyBorder="1" applyAlignment="1" applyProtection="1">
      <alignment horizontal="center"/>
      <protection locked="0"/>
    </xf>
    <xf numFmtId="0" fontId="0" fillId="5" borderId="29" xfId="0" applyFill="1" applyBorder="1" applyAlignment="1" applyProtection="1">
      <alignment horizontal="center"/>
      <protection locked="0"/>
    </xf>
    <xf numFmtId="165" fontId="0" fillId="5" borderId="18" xfId="0" applyNumberFormat="1" applyFill="1" applyBorder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166" fontId="0" fillId="6" borderId="18" xfId="0" applyNumberFormat="1" applyFill="1" applyBorder="1" applyProtection="1">
      <protection locked="0"/>
    </xf>
    <xf numFmtId="166" fontId="0" fillId="6" borderId="19" xfId="0" applyNumberFormat="1" applyFill="1" applyBorder="1" applyProtection="1">
      <protection locked="0"/>
    </xf>
    <xf numFmtId="2" fontId="0" fillId="6" borderId="18" xfId="0" applyNumberFormat="1" applyFill="1" applyBorder="1"/>
    <xf numFmtId="164" fontId="0" fillId="6" borderId="18" xfId="0" applyNumberFormat="1" applyFill="1" applyBorder="1"/>
    <xf numFmtId="166" fontId="0" fillId="6" borderId="29" xfId="0" applyNumberFormat="1" applyFill="1" applyBorder="1" applyProtection="1">
      <protection locked="0"/>
    </xf>
    <xf numFmtId="165" fontId="0" fillId="6" borderId="18" xfId="0" applyNumberFormat="1" applyFill="1" applyBorder="1" applyAlignment="1">
      <alignment horizontal="center"/>
    </xf>
    <xf numFmtId="2" fontId="0" fillId="6" borderId="29" xfId="0" applyNumberFormat="1" applyFill="1" applyBorder="1" applyAlignment="1" applyProtection="1">
      <alignment horizontal="center"/>
      <protection locked="0"/>
    </xf>
    <xf numFmtId="2" fontId="0" fillId="6" borderId="18" xfId="0" applyNumberFormat="1" applyFill="1" applyBorder="1" applyAlignment="1" applyProtection="1">
      <alignment horizontal="center"/>
      <protection locked="0"/>
    </xf>
    <xf numFmtId="0" fontId="0" fillId="6" borderId="18" xfId="0" applyFill="1" applyBorder="1" applyAlignment="1" applyProtection="1">
      <alignment horizontal="center"/>
      <protection locked="0"/>
    </xf>
    <xf numFmtId="0" fontId="23" fillId="0" borderId="0" xfId="0" applyFont="1" applyAlignment="1">
      <alignment horizontal="center" vertical="top"/>
    </xf>
    <xf numFmtId="0" fontId="0" fillId="0" borderId="18" xfId="0" applyBorder="1" applyAlignment="1">
      <alignment vertical="center"/>
    </xf>
    <xf numFmtId="166" fontId="0" fillId="0" borderId="0" xfId="0" applyNumberFormat="1" applyProtection="1">
      <protection locked="0"/>
    </xf>
    <xf numFmtId="165" fontId="0" fillId="0" borderId="19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165" fontId="0" fillId="6" borderId="18" xfId="0" applyNumberFormat="1" applyFill="1" applyBorder="1" applyAlignment="1">
      <alignment horizontal="center" vertical="center"/>
    </xf>
    <xf numFmtId="165" fontId="0" fillId="6" borderId="18" xfId="0" applyNumberFormat="1" applyFill="1" applyBorder="1" applyAlignment="1" applyProtection="1">
      <alignment horizontal="center" vertical="center"/>
      <protection locked="0"/>
    </xf>
    <xf numFmtId="0" fontId="0" fillId="6" borderId="18" xfId="0" applyFill="1" applyBorder="1" applyAlignment="1" applyProtection="1">
      <alignment horizontal="center" vertical="center"/>
      <protection locked="0"/>
    </xf>
    <xf numFmtId="164" fontId="0" fillId="6" borderId="18" xfId="0" applyNumberFormat="1" applyFill="1" applyBorder="1" applyAlignment="1" applyProtection="1">
      <alignment horizontal="center" vertical="center"/>
      <protection locked="0"/>
    </xf>
    <xf numFmtId="2" fontId="0" fillId="6" borderId="18" xfId="0" applyNumberForma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165" fontId="0" fillId="0" borderId="0" xfId="0" applyNumberFormat="1" applyFill="1" applyBorder="1"/>
    <xf numFmtId="0" fontId="0" fillId="0" borderId="0" xfId="0" applyFill="1" applyBorder="1"/>
    <xf numFmtId="0" fontId="0" fillId="0" borderId="0" xfId="0" applyFill="1" applyBorder="1" applyProtection="1">
      <protection locked="0"/>
    </xf>
    <xf numFmtId="2" fontId="0" fillId="0" borderId="0" xfId="0" applyNumberFormat="1" applyBorder="1" applyAlignment="1">
      <alignment horizontal="center"/>
    </xf>
    <xf numFmtId="0" fontId="0" fillId="0" borderId="0" xfId="0" applyBorder="1" applyProtection="1">
      <protection locked="0"/>
    </xf>
    <xf numFmtId="2" fontId="0" fillId="0" borderId="0" xfId="0" applyNumberFormat="1" applyBorder="1"/>
    <xf numFmtId="0" fontId="0" fillId="6" borderId="18" xfId="0" applyFill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6" borderId="29" xfId="0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613948</xdr:colOff>
      <xdr:row>44</xdr:row>
      <xdr:rowOff>6177</xdr:rowOff>
    </xdr:from>
    <xdr:ext cx="5454314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feld 26">
              <a:extLst>
                <a:ext uri="{FF2B5EF4-FFF2-40B4-BE49-F238E27FC236}">
                  <a16:creationId xmlns:a16="http://schemas.microsoft.com/office/drawing/2014/main" id="{2F3D2A9C-D04B-05BA-FDED-153C7E45638F}"/>
                </a:ext>
              </a:extLst>
            </xdr:cNvPr>
            <xdr:cNvSpPr txBox="1"/>
          </xdr:nvSpPr>
          <xdr:spPr>
            <a:xfrm>
              <a:off x="9412416" y="9273745"/>
              <a:ext cx="5454314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𝑝</m:t>
                      </m:r>
                    </m:e>
                    <m:sub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𝑔𝑒𝑠</m:t>
                      </m:r>
                    </m:sub>
                  </m:sSub>
                  <m:d>
                    <m:d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fr-CH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CH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fr-CH" sz="11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</m:sSub>
                    </m:e>
                  </m:d>
                  <m:r>
                    <a:rPr lang="fr-CH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𝑝</m:t>
                      </m:r>
                    </m:e>
                    <m:sub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fr-CH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𝑝</m:t>
                      </m:r>
                    </m:e>
                    <m:sub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𝐵</m:t>
                      </m:r>
                    </m:sub>
                  </m:sSub>
                  <m:r>
                    <a:rPr lang="fr-CH" sz="1100" b="0" i="1">
                      <a:latin typeface="Cambria Math" panose="02040503050406030204" pitchFamily="18" charset="0"/>
                    </a:rPr>
                    <m:t>=</m:t>
                  </m:r>
                  <m:sSubSup>
                    <m:sSubSup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𝑝</m:t>
                      </m:r>
                    </m:e>
                    <m:sub>
                      <m:r>
                        <a:rPr lang="fr-CH" sz="11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  <m:sup>
                      <m:r>
                        <a:rPr lang="fr-CH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  <m:r>
                    <a:rPr lang="fr-CH" sz="1100" b="0" i="0">
                      <a:latin typeface="Cambria Math" panose="02040503050406030204" pitchFamily="18" charset="0"/>
                    </a:rPr>
                    <m:t> ∗</m:t>
                  </m:r>
                  <m:sSub>
                    <m:sSub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x</m:t>
                      </m:r>
                    </m:e>
                    <m:sub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A</m:t>
                      </m:r>
                    </m:sub>
                  </m:sSub>
                  <m:r>
                    <a:rPr lang="fr-CH" sz="11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fr-CH" sz="1100" b="0" i="0">
                      <a:latin typeface="Cambria Math" panose="02040503050406030204" pitchFamily="18" charset="0"/>
                    </a:rPr>
                    <m:t>exp</m:t>
                  </m:r>
                  <m:d>
                    <m:d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fr-CH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m:rPr>
                              <m:sty m:val="p"/>
                            </m:rPr>
                            <a:rPr lang="fr-CH" sz="1100" b="0" i="0">
                              <a:latin typeface="Cambria Math" panose="02040503050406030204" pitchFamily="18" charset="0"/>
                            </a:rPr>
                            <m:t>Omega</m:t>
                          </m:r>
                        </m:num>
                        <m:den>
                          <m:r>
                            <m:rPr>
                              <m:sty m:val="p"/>
                            </m:rPr>
                            <a:rPr lang="fr-CH" sz="1100" b="0" i="0">
                              <a:latin typeface="Cambria Math" panose="02040503050406030204" pitchFamily="18" charset="0"/>
                            </a:rPr>
                            <m:t>RT</m:t>
                          </m:r>
                        </m:den>
                      </m:f>
                      <m:r>
                        <a:rPr lang="fr-CH" sz="1100" b="0" i="0">
                          <a:latin typeface="Cambria Math" panose="02040503050406030204" pitchFamily="18" charset="0"/>
                        </a:rPr>
                        <m:t>∗</m:t>
                      </m:r>
                      <m:sSup>
                        <m:sSupPr>
                          <m:ctrlPr>
                            <a:rPr lang="fr-CH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fr-CH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fr-CH" sz="1100" b="0" i="0">
                                  <a:latin typeface="Cambria Math" panose="02040503050406030204" pitchFamily="18" charset="0"/>
                                </a:rPr>
                                <m:t>1−</m:t>
                              </m:r>
                              <m:sSub>
                                <m:sSubPr>
                                  <m:ctrlPr>
                                    <a:rPr lang="fr-CH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m:rPr>
                                      <m:sty m:val="p"/>
                                    </m:rPr>
                                    <a:rPr lang="fr-CH" sz="1100" b="0" i="0">
                                      <a:latin typeface="Cambria Math" panose="02040503050406030204" pitchFamily="18" charset="0"/>
                                    </a:rPr>
                                    <m:t>x</m:t>
                                  </m:r>
                                </m:e>
                                <m:sub>
                                  <m:r>
                                    <m:rPr>
                                      <m:sty m:val="p"/>
                                    </m:rPr>
                                    <a:rPr lang="fr-CH" sz="1100" b="0" i="0">
                                      <a:latin typeface="Cambria Math" panose="02040503050406030204" pitchFamily="18" charset="0"/>
                                    </a:rPr>
                                    <m:t>A</m:t>
                                  </m:r>
                                </m:sub>
                              </m:sSub>
                            </m:e>
                          </m:d>
                        </m:e>
                        <m:sup>
                          <m:r>
                            <a:rPr lang="fr-CH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e>
                  </m:d>
                  <m:r>
                    <a:rPr lang="fr-CH" sz="1100" b="0" i="0">
                      <a:latin typeface="Cambria Math" panose="02040503050406030204" pitchFamily="18" charset="0"/>
                    </a:rPr>
                    <m:t>+</m:t>
                  </m:r>
                  <m:sSubSup>
                    <m:sSubSup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p</m:t>
                      </m:r>
                    </m:e>
                    <m:sub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B</m:t>
                      </m:r>
                    </m:sub>
                    <m:sup>
                      <m:r>
                        <a:rPr lang="fr-CH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  <m:r>
                    <a:rPr lang="fr-CH" sz="1100" b="0" i="0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fr-CH" sz="1100" b="0" i="0">
                          <a:latin typeface="Cambria Math" panose="02040503050406030204" pitchFamily="18" charset="0"/>
                        </a:rPr>
                        <m:t>1 −</m:t>
                      </m:r>
                      <m:sSub>
                        <m:sSubPr>
                          <m:ctrlPr>
                            <a:rPr lang="fr-CH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fr-CH" sz="1100" b="0" i="0">
                              <a:latin typeface="Cambria Math" panose="02040503050406030204" pitchFamily="18" charset="0"/>
                            </a:rPr>
                            <m:t>x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fr-CH" sz="1100" b="0" i="0">
                              <a:latin typeface="Cambria Math" panose="02040503050406030204" pitchFamily="18" charset="0"/>
                            </a:rPr>
                            <m:t>A</m:t>
                          </m:r>
                        </m:sub>
                      </m:sSub>
                    </m:e>
                  </m:d>
                  <m:r>
                    <a:rPr lang="fr-CH" sz="1100" b="0" i="0">
                      <a:latin typeface="Cambria Math" panose="02040503050406030204" pitchFamily="18" charset="0"/>
                    </a:rPr>
                    <m:t>∗</m:t>
                  </m:r>
                  <m:r>
                    <m:rPr>
                      <m:sty m:val="p"/>
                    </m:rPr>
                    <a:rPr lang="fr-CH" sz="1100" b="0" i="0">
                      <a:latin typeface="Cambria Math" panose="02040503050406030204" pitchFamily="18" charset="0"/>
                    </a:rPr>
                    <m:t>exp</m:t>
                  </m:r>
                  <m:r>
                    <a:rPr lang="fr-CH" sz="1100" b="0" i="0"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Omega</m:t>
                      </m:r>
                    </m:num>
                    <m:den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RT</m:t>
                      </m:r>
                    </m:den>
                  </m:f>
                  <m:r>
                    <a:rPr lang="fr-CH" sz="1100" b="0" i="0">
                      <a:latin typeface="Cambria Math" panose="02040503050406030204" pitchFamily="18" charset="0"/>
                    </a:rPr>
                    <m:t>∗</m:t>
                  </m:r>
                  <m:sSubSup>
                    <m:sSubSupPr>
                      <m:ctrlPr>
                        <a:rPr lang="fr-CH" sz="11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x</m:t>
                      </m:r>
                    </m:e>
                    <m:sub>
                      <m:r>
                        <m:rPr>
                          <m:sty m:val="p"/>
                        </m:rPr>
                        <a:rPr lang="fr-CH" sz="1100" b="0" i="0">
                          <a:latin typeface="Cambria Math" panose="02040503050406030204" pitchFamily="18" charset="0"/>
                        </a:rPr>
                        <m:t>A</m:t>
                      </m:r>
                    </m:sub>
                    <m:sup>
                      <m:r>
                        <a:rPr lang="fr-CH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</m:oMath>
              </a14:m>
              <a:r>
                <a:rPr lang="de-DE" sz="1100"/>
                <a:t>)</a:t>
              </a:r>
            </a:p>
          </xdr:txBody>
        </xdr:sp>
      </mc:Choice>
      <mc:Fallback xmlns="">
        <xdr:sp macro="" textlink="">
          <xdr:nvSpPr>
            <xdr:cNvPr id="27" name="Textfeld 26">
              <a:extLst>
                <a:ext uri="{FF2B5EF4-FFF2-40B4-BE49-F238E27FC236}">
                  <a16:creationId xmlns:a16="http://schemas.microsoft.com/office/drawing/2014/main" id="{2F3D2A9C-D04B-05BA-FDED-153C7E45638F}"/>
                </a:ext>
              </a:extLst>
            </xdr:cNvPr>
            <xdr:cNvSpPr txBox="1"/>
          </xdr:nvSpPr>
          <xdr:spPr>
            <a:xfrm>
              <a:off x="9412416" y="9273745"/>
              <a:ext cx="5454314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H" sz="1100" b="0" i="0">
                  <a:latin typeface="Cambria Math" panose="02040503050406030204" pitchFamily="18" charset="0"/>
                </a:rPr>
                <a:t>𝑝_𝑔𝑒𝑠 (𝑥_𝐴 )=𝑝_𝐴+𝑝_𝐵=𝑝_𝐴^∗  ∗x_A  ∗exp(Omega/RT∗(1−x_A )^2 )+p_B^∗  (1 −x_A )∗exp(Omega/RT∗x_A^2</a:t>
              </a:r>
              <a:r>
                <a:rPr lang="de-DE" sz="1100"/>
                <a:t>)</a:t>
              </a:r>
            </a:p>
          </xdr:txBody>
        </xdr:sp>
      </mc:Fallback>
    </mc:AlternateContent>
    <xdr:clientData/>
  </xdr:oneCellAnchor>
  <xdr:twoCellAnchor editAs="oneCell">
    <xdr:from>
      <xdr:col>0</xdr:col>
      <xdr:colOff>777160</xdr:colOff>
      <xdr:row>40</xdr:row>
      <xdr:rowOff>83155</xdr:rowOff>
    </xdr:from>
    <xdr:to>
      <xdr:col>4</xdr:col>
      <xdr:colOff>679263</xdr:colOff>
      <xdr:row>60</xdr:row>
      <xdr:rowOff>30390</xdr:rowOff>
    </xdr:to>
    <xdr:pic>
      <xdr:nvPicPr>
        <xdr:cNvPr id="40" name="Grafik 39">
          <a:extLst>
            <a:ext uri="{FF2B5EF4-FFF2-40B4-BE49-F238E27FC236}">
              <a16:creationId xmlns:a16="http://schemas.microsoft.com/office/drawing/2014/main" id="{FC6ED6B9-505C-B3F3-0A6E-40D1FEE73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160" y="8226096"/>
          <a:ext cx="5691809" cy="3831942"/>
        </a:xfrm>
        <a:prstGeom prst="rect">
          <a:avLst/>
        </a:prstGeom>
      </xdr:spPr>
    </xdr:pic>
    <xdr:clientData/>
  </xdr:twoCellAnchor>
  <xdr:twoCellAnchor editAs="oneCell">
    <xdr:from>
      <xdr:col>0</xdr:col>
      <xdr:colOff>822848</xdr:colOff>
      <xdr:row>116</xdr:row>
      <xdr:rowOff>74804</xdr:rowOff>
    </xdr:from>
    <xdr:to>
      <xdr:col>4</xdr:col>
      <xdr:colOff>435707</xdr:colOff>
      <xdr:row>134</xdr:row>
      <xdr:rowOff>113880</xdr:rowOff>
    </xdr:to>
    <xdr:pic>
      <xdr:nvPicPr>
        <xdr:cNvPr id="42" name="Grafik 41">
          <a:extLst>
            <a:ext uri="{FF2B5EF4-FFF2-40B4-BE49-F238E27FC236}">
              <a16:creationId xmlns:a16="http://schemas.microsoft.com/office/drawing/2014/main" id="{BFD30CF8-5084-FE0A-E822-F0748BA5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848" y="24433404"/>
          <a:ext cx="5404059" cy="3696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26517</xdr:rowOff>
    </xdr:from>
    <xdr:to>
      <xdr:col>4</xdr:col>
      <xdr:colOff>1428819</xdr:colOff>
      <xdr:row>164</xdr:row>
      <xdr:rowOff>143748</xdr:rowOff>
    </xdr:to>
    <xdr:pic>
      <xdr:nvPicPr>
        <xdr:cNvPr id="44" name="Grafik 43">
          <a:extLst>
            <a:ext uri="{FF2B5EF4-FFF2-40B4-BE49-F238E27FC236}">
              <a16:creationId xmlns:a16="http://schemas.microsoft.com/office/drawing/2014/main" id="{518BA5AD-A073-93D2-FCD0-5B9065AE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652317"/>
          <a:ext cx="7220019" cy="5603631"/>
        </a:xfrm>
        <a:prstGeom prst="rect">
          <a:avLst/>
        </a:prstGeom>
      </xdr:spPr>
    </xdr:pic>
    <xdr:clientData/>
  </xdr:twoCellAnchor>
  <xdr:twoCellAnchor editAs="oneCell">
    <xdr:from>
      <xdr:col>1</xdr:col>
      <xdr:colOff>705294</xdr:colOff>
      <xdr:row>217</xdr:row>
      <xdr:rowOff>131135</xdr:rowOff>
    </xdr:from>
    <xdr:to>
      <xdr:col>6</xdr:col>
      <xdr:colOff>678123</xdr:colOff>
      <xdr:row>248</xdr:row>
      <xdr:rowOff>9902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C12AE822-67B1-AAE2-189D-D7CD54BB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7294" y="6227135"/>
          <a:ext cx="7034028" cy="6164521"/>
        </a:xfrm>
        <a:prstGeom prst="rect">
          <a:avLst/>
        </a:prstGeom>
      </xdr:spPr>
    </xdr:pic>
    <xdr:clientData/>
  </xdr:twoCellAnchor>
  <xdr:oneCellAnchor>
    <xdr:from>
      <xdr:col>7</xdr:col>
      <xdr:colOff>780493</xdr:colOff>
      <xdr:row>46</xdr:row>
      <xdr:rowOff>2297</xdr:rowOff>
    </xdr:from>
    <xdr:ext cx="2180469" cy="240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feld 51">
              <a:extLst>
                <a:ext uri="{FF2B5EF4-FFF2-40B4-BE49-F238E27FC236}">
                  <a16:creationId xmlns:a16="http://schemas.microsoft.com/office/drawing/2014/main" id="{FCAFA9F4-6803-B771-014A-29FDE64B27C9}"/>
                </a:ext>
              </a:extLst>
            </xdr:cNvPr>
            <xdr:cNvSpPr txBox="1"/>
          </xdr:nvSpPr>
          <xdr:spPr>
            <a:xfrm>
              <a:off x="11043466" y="9727522"/>
              <a:ext cx="2180469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de-DE" sz="1100" i="1">
                      <a:latin typeface="Cambria Math" panose="02040503050406030204" pitchFamily="18" charset="0"/>
                    </a:rPr>
                    <m:t>1841,40934685578</m:t>
                  </m:r>
                  <m:r>
                    <a:rPr lang="fr-CH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fr-CH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±330,787</m:t>
                  </m:r>
                  <m:f>
                    <m:fPr>
                      <m:ctrlP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𝐽</m:t>
                      </m:r>
                    </m:num>
                    <m:den>
                      <m:r>
                        <a:rPr lang="fr-CH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𝑚𝑜𝑙</m:t>
                      </m:r>
                    </m:den>
                  </m:f>
                  <m:r>
                    <a:rPr lang="de-DE" sz="110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de-DE" sz="1100"/>
                <a:t> </a:t>
              </a:r>
            </a:p>
          </xdr:txBody>
        </xdr:sp>
      </mc:Choice>
      <mc:Fallback xmlns="">
        <xdr:sp macro="" textlink="">
          <xdr:nvSpPr>
            <xdr:cNvPr id="52" name="Textfeld 51">
              <a:extLst>
                <a:ext uri="{FF2B5EF4-FFF2-40B4-BE49-F238E27FC236}">
                  <a16:creationId xmlns:a16="http://schemas.microsoft.com/office/drawing/2014/main" id="{FCAFA9F4-6803-B771-014A-29FDE64B27C9}"/>
                </a:ext>
              </a:extLst>
            </xdr:cNvPr>
            <xdr:cNvSpPr txBox="1"/>
          </xdr:nvSpPr>
          <xdr:spPr>
            <a:xfrm>
              <a:off x="11043466" y="9727522"/>
              <a:ext cx="2180469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:r>
                <a:rPr lang="de-DE" sz="1100" i="0">
                  <a:latin typeface="Cambria Math" panose="02040503050406030204" pitchFamily="18" charset="0"/>
                </a:rPr>
                <a:t>1841,40934685578</a:t>
              </a:r>
              <a:r>
                <a:rPr lang="fr-CH" sz="1100" b="0" i="0">
                  <a:latin typeface="Cambria Math" panose="02040503050406030204" pitchFamily="18" charset="0"/>
                </a:rPr>
                <a:t> </a:t>
              </a:r>
              <a:r>
                <a:rPr lang="fr-CH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±330,787 𝐽/𝑚𝑜𝑙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de-DE" sz="1100" i="0">
                  <a:latin typeface="Cambria Math" panose="02040503050406030204" pitchFamily="18" charset="0"/>
                </a:rPr>
                <a:t> </a:t>
              </a:r>
              <a:r>
                <a:rPr lang="de-DE" sz="1100"/>
                <a:t> </a:t>
              </a:r>
            </a:p>
          </xdr:txBody>
        </xdr:sp>
      </mc:Fallback>
    </mc:AlternateContent>
    <xdr:clientData/>
  </xdr:oneCellAnchor>
  <xdr:oneCellAnchor>
    <xdr:from>
      <xdr:col>2</xdr:col>
      <xdr:colOff>313267</xdr:colOff>
      <xdr:row>18</xdr:row>
      <xdr:rowOff>42333</xdr:rowOff>
    </xdr:from>
    <xdr:ext cx="20640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32928E2E-D373-3663-FEB8-8EDB6034F42C}"/>
                </a:ext>
              </a:extLst>
            </xdr:cNvPr>
            <xdr:cNvSpPr txBox="1"/>
          </xdr:nvSpPr>
          <xdr:spPr>
            <a:xfrm>
              <a:off x="3378200" y="4123266"/>
              <a:ext cx="20640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1"/>
                <a:t>Omega=</a:t>
              </a:r>
              <a14:m>
                <m:oMath xmlns:m="http://schemas.openxmlformats.org/officeDocument/2006/math">
                  <m:r>
                    <a:rPr lang="fr-CH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de-DE" sz="1100" i="1">
                      <a:latin typeface="Cambria Math" panose="02040503050406030204" pitchFamily="18" charset="0"/>
                    </a:rPr>
                    <m:t>1841.41 ± 330.79 </m:t>
                  </m:r>
                  <m:r>
                    <a:rPr lang="de-DE" sz="1100" i="1">
                      <a:latin typeface="Cambria Math" panose="02040503050406030204" pitchFamily="18" charset="0"/>
                    </a:rPr>
                    <m:t>𝐽</m:t>
                  </m:r>
                  <m:r>
                    <a:rPr lang="de-DE" sz="1100" i="1">
                      <a:latin typeface="Cambria Math" panose="02040503050406030204" pitchFamily="18" charset="0"/>
                    </a:rPr>
                    <m:t>/</m:t>
                  </m:r>
                  <m:r>
                    <a:rPr lang="de-DE" sz="1100" i="1">
                      <a:latin typeface="Cambria Math" panose="02040503050406030204" pitchFamily="18" charset="0"/>
                    </a:rPr>
                    <m:t>𝑚𝑜𝑙</m:t>
                  </m:r>
                </m:oMath>
              </a14:m>
              <a:endParaRPr lang="de-DE" sz="1100"/>
            </a:p>
          </xdr:txBody>
        </xdr:sp>
      </mc:Choice>
      <mc:Fallback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32928E2E-D373-3663-FEB8-8EDB6034F42C}"/>
                </a:ext>
              </a:extLst>
            </xdr:cNvPr>
            <xdr:cNvSpPr txBox="1"/>
          </xdr:nvSpPr>
          <xdr:spPr>
            <a:xfrm>
              <a:off x="3378200" y="4123266"/>
              <a:ext cx="20640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1"/>
                <a:t>Omega=</a:t>
              </a:r>
              <a:r>
                <a:rPr lang="fr-CH" sz="1100" b="0" i="0">
                  <a:latin typeface="Cambria Math" panose="02040503050406030204" pitchFamily="18" charset="0"/>
                </a:rPr>
                <a:t> </a:t>
              </a:r>
              <a:r>
                <a:rPr lang="de-DE" sz="1100" i="0">
                  <a:latin typeface="Cambria Math" panose="02040503050406030204" pitchFamily="18" charset="0"/>
                </a:rPr>
                <a:t>1841.41 ± 330.79 𝐽/𝑚𝑜𝑙</a:t>
              </a:r>
              <a:endParaRPr lang="de-DE" sz="1100"/>
            </a:p>
          </xdr:txBody>
        </xdr:sp>
      </mc:Fallback>
    </mc:AlternateContent>
    <xdr:clientData/>
  </xdr:oneCellAnchor>
  <xdr:twoCellAnchor editAs="oneCell">
    <xdr:from>
      <xdr:col>0</xdr:col>
      <xdr:colOff>355600</xdr:colOff>
      <xdr:row>72</xdr:row>
      <xdr:rowOff>114300</xdr:rowOff>
    </xdr:from>
    <xdr:to>
      <xdr:col>4</xdr:col>
      <xdr:colOff>368300</xdr:colOff>
      <xdr:row>93</xdr:row>
      <xdr:rowOff>152400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CFB0B842-F8B4-8D34-FE5A-1FFE0A3C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14719300"/>
          <a:ext cx="5803900" cy="4038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4</xdr:col>
      <xdr:colOff>1407886</xdr:colOff>
      <xdr:row>282</xdr:row>
      <xdr:rowOff>109416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BD7F47C9-B995-2744-09EB-426E1FE4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646484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0</xdr:col>
      <xdr:colOff>759239</xdr:colOff>
      <xdr:row>172</xdr:row>
      <xdr:rowOff>69022</xdr:rowOff>
    </xdr:from>
    <xdr:to>
      <xdr:col>5</xdr:col>
      <xdr:colOff>573709</xdr:colOff>
      <xdr:row>200</xdr:row>
      <xdr:rowOff>42518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AB758622-0F8D-0565-5E11-71C2EB8CB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239" y="34193370"/>
          <a:ext cx="7213600" cy="5384800"/>
        </a:xfrm>
        <a:prstGeom prst="rect">
          <a:avLst/>
        </a:prstGeom>
      </xdr:spPr>
    </xdr:pic>
    <xdr:clientData/>
  </xdr:twoCellAnchor>
  <xdr:twoCellAnchor editAs="oneCell">
    <xdr:from>
      <xdr:col>6</xdr:col>
      <xdr:colOff>483152</xdr:colOff>
      <xdr:row>172</xdr:row>
      <xdr:rowOff>55217</xdr:rowOff>
    </xdr:from>
    <xdr:to>
      <xdr:col>12</xdr:col>
      <xdr:colOff>49144</xdr:colOff>
      <xdr:row>200</xdr:row>
      <xdr:rowOff>28713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0A9F416F-8C4C-1D4D-F1B9-D5656CBF3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6522" y="34179565"/>
          <a:ext cx="7213600" cy="538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65FBFF-B133-BF4E-8DDA-C3B6A61E8433}">
  <we:reference id="wa104100404" version="3.0.0.1" store="de-DE" storeType="OMEX"/>
  <we:alternateReferences>
    <we:reference id="wa104100404" version="3.0.0.1" store="de-DE" storeType="OMEX"/>
  </we:alternateReferences>
  <we:properties>
    <we:property name="UniqueID" value="&quot;2025428174844641638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53"/>
  <sheetViews>
    <sheetView tabSelected="1" topLeftCell="S1" zoomScale="92" zoomScaleNormal="100" workbookViewId="0">
      <selection activeCell="AL12" sqref="AL12"/>
    </sheetView>
  </sheetViews>
  <sheetFormatPr baseColWidth="10" defaultColWidth="11.5" defaultRowHeight="15" x14ac:dyDescent="0.2"/>
  <cols>
    <col min="1" max="1" width="24.33203125" style="1" customWidth="1"/>
    <col min="2" max="3" width="15.6640625" style="1" customWidth="1"/>
    <col min="4" max="4" width="20.33203125" style="1" customWidth="1"/>
    <col min="5" max="5" width="21.33203125" style="1" customWidth="1"/>
    <col min="6" max="6" width="18.33203125" style="1" customWidth="1"/>
    <col min="7" max="7" width="19.1640625" style="1" customWidth="1"/>
    <col min="8" max="8" width="18.33203125" style="1" customWidth="1"/>
    <col min="9" max="9" width="16.1640625" style="1" customWidth="1"/>
    <col min="10" max="12" width="15.6640625" style="1" customWidth="1"/>
    <col min="13" max="13" width="17.6640625" style="1" customWidth="1"/>
    <col min="14" max="14" width="19" style="1" customWidth="1"/>
    <col min="15" max="48" width="11.5" style="1"/>
    <col min="49" max="49" width="14.5" style="1" customWidth="1"/>
    <col min="50" max="16384" width="11.5" style="1"/>
  </cols>
  <sheetData>
    <row r="1" spans="1:57" ht="21" thickTop="1" thickBot="1" x14ac:dyDescent="0.3">
      <c r="A1" s="3" t="s">
        <v>0</v>
      </c>
      <c r="B1" s="43" t="s">
        <v>33</v>
      </c>
      <c r="C1" s="4"/>
      <c r="D1"/>
      <c r="E1" s="29" t="s">
        <v>18</v>
      </c>
      <c r="F1" s="30"/>
      <c r="G1" s="30"/>
      <c r="H1" s="30"/>
      <c r="I1" s="30"/>
      <c r="J1"/>
      <c r="K1" s="33" t="s">
        <v>21</v>
      </c>
      <c r="L1" s="31"/>
      <c r="M1"/>
    </row>
    <row r="2" spans="1:57" x14ac:dyDescent="0.2">
      <c r="A2" s="5" t="s">
        <v>1</v>
      </c>
      <c r="B2" s="56" t="s">
        <v>34</v>
      </c>
      <c r="C2" s="6" t="s">
        <v>4</v>
      </c>
      <c r="D2"/>
      <c r="E2" s="30" t="s">
        <v>22</v>
      </c>
      <c r="F2" s="30"/>
      <c r="G2" s="30"/>
      <c r="H2" s="30"/>
      <c r="I2" s="30"/>
      <c r="J2"/>
      <c r="K2" s="27" t="s">
        <v>19</v>
      </c>
      <c r="L2" s="31"/>
      <c r="M2"/>
    </row>
    <row r="3" spans="1:57" ht="18" thickBot="1" x14ac:dyDescent="0.3">
      <c r="A3" s="5" t="s">
        <v>2</v>
      </c>
      <c r="B3" s="57">
        <v>0.88500000000000001</v>
      </c>
      <c r="C3" s="6" t="s">
        <v>3</v>
      </c>
      <c r="D3"/>
      <c r="E3" s="30" t="s">
        <v>8</v>
      </c>
      <c r="F3" s="30"/>
      <c r="G3" s="30"/>
      <c r="H3" s="30"/>
      <c r="I3" s="30"/>
      <c r="J3"/>
      <c r="K3" s="28" t="s">
        <v>20</v>
      </c>
      <c r="L3" s="32"/>
      <c r="M3"/>
    </row>
    <row r="4" spans="1:57" ht="16" thickTop="1" x14ac:dyDescent="0.2">
      <c r="A4" s="7"/>
      <c r="B4" s="8"/>
      <c r="C4" s="9"/>
      <c r="D4"/>
      <c r="E4" t="s">
        <v>32</v>
      </c>
      <c r="F4"/>
      <c r="G4"/>
      <c r="H4"/>
      <c r="I4"/>
      <c r="J4"/>
      <c r="K4"/>
      <c r="L4"/>
      <c r="M4"/>
      <c r="N4"/>
    </row>
    <row r="5" spans="1:57" ht="16" thickBot="1" x14ac:dyDescent="0.25">
      <c r="A5" s="10"/>
      <c r="B5"/>
      <c r="C5" s="11"/>
      <c r="D5"/>
      <c r="E5"/>
      <c r="F5"/>
      <c r="G5"/>
      <c r="H5"/>
      <c r="I5"/>
      <c r="J5"/>
      <c r="K5"/>
      <c r="L5"/>
      <c r="M5"/>
      <c r="N5"/>
    </row>
    <row r="6" spans="1:57" ht="17" customHeight="1" thickTop="1" x14ac:dyDescent="0.2">
      <c r="A6" s="102" t="s">
        <v>13</v>
      </c>
      <c r="B6" s="103"/>
      <c r="C6" s="104"/>
      <c r="D6" s="99" t="s">
        <v>27</v>
      </c>
      <c r="E6" s="100"/>
      <c r="F6" s="97" t="s">
        <v>28</v>
      </c>
      <c r="G6" s="101"/>
      <c r="H6" s="12" t="s">
        <v>39</v>
      </c>
      <c r="I6" s="12"/>
      <c r="J6" s="61"/>
      <c r="K6" s="97" t="s">
        <v>10</v>
      </c>
      <c r="L6" s="98"/>
      <c r="M6" s="12" t="s">
        <v>9</v>
      </c>
      <c r="N6" s="54">
        <v>998</v>
      </c>
      <c r="U6" s="1" t="s">
        <v>58</v>
      </c>
      <c r="AG6" s="1" t="s">
        <v>72</v>
      </c>
      <c r="AP6" s="1" t="s">
        <v>84</v>
      </c>
      <c r="BA6" s="1" t="s">
        <v>91</v>
      </c>
      <c r="BB6" s="121"/>
      <c r="BC6" s="121"/>
      <c r="BD6" s="121"/>
      <c r="BE6" s="121"/>
    </row>
    <row r="7" spans="1:57" s="2" customFormat="1" ht="51" x14ac:dyDescent="0.2">
      <c r="A7" s="13" t="s">
        <v>24</v>
      </c>
      <c r="B7" s="14" t="s">
        <v>14</v>
      </c>
      <c r="C7" s="15" t="s">
        <v>15</v>
      </c>
      <c r="D7" s="16" t="s">
        <v>6</v>
      </c>
      <c r="E7" s="17" t="s">
        <v>5</v>
      </c>
      <c r="F7" s="16" t="s">
        <v>29</v>
      </c>
      <c r="G7" s="18" t="s">
        <v>30</v>
      </c>
      <c r="H7" s="19" t="s">
        <v>31</v>
      </c>
      <c r="I7" s="19" t="s">
        <v>26</v>
      </c>
      <c r="J7" s="59" t="s">
        <v>25</v>
      </c>
      <c r="K7" s="16" t="s">
        <v>23</v>
      </c>
      <c r="L7" s="18" t="s">
        <v>7</v>
      </c>
      <c r="M7" s="19" t="s">
        <v>11</v>
      </c>
      <c r="N7" s="17" t="s">
        <v>12</v>
      </c>
      <c r="V7" s="78" t="s">
        <v>59</v>
      </c>
      <c r="W7" s="78" t="s">
        <v>51</v>
      </c>
      <c r="X7" s="78" t="s">
        <v>60</v>
      </c>
      <c r="Y7" s="78" t="s">
        <v>61</v>
      </c>
      <c r="Z7" s="78" t="s">
        <v>62</v>
      </c>
      <c r="AA7" s="78" t="s">
        <v>63</v>
      </c>
      <c r="AB7" s="78" t="s">
        <v>64</v>
      </c>
      <c r="AC7" s="78" t="s">
        <v>65</v>
      </c>
      <c r="AH7" s="78" t="s">
        <v>59</v>
      </c>
      <c r="AI7" s="78" t="s">
        <v>51</v>
      </c>
      <c r="AJ7" s="78" t="s">
        <v>73</v>
      </c>
      <c r="AK7" s="78" t="s">
        <v>74</v>
      </c>
      <c r="AL7" s="78" t="s">
        <v>75</v>
      </c>
      <c r="AM7" s="78" t="s">
        <v>76</v>
      </c>
      <c r="AN7" s="78" t="s">
        <v>77</v>
      </c>
      <c r="AQ7" s="78" t="s">
        <v>59</v>
      </c>
      <c r="AR7" s="78" t="s">
        <v>51</v>
      </c>
      <c r="AS7" s="78" t="s">
        <v>85</v>
      </c>
      <c r="AT7" s="78" t="s">
        <v>86</v>
      </c>
      <c r="AU7" s="78" t="s">
        <v>87</v>
      </c>
      <c r="AV7" s="78" t="s">
        <v>90</v>
      </c>
      <c r="AW7" s="78" t="s">
        <v>88</v>
      </c>
      <c r="AX7" s="78" t="s">
        <v>89</v>
      </c>
      <c r="AY7" s="78" t="s">
        <v>94</v>
      </c>
      <c r="BB7" s="78" t="s">
        <v>59</v>
      </c>
      <c r="BC7" s="78" t="s">
        <v>35</v>
      </c>
      <c r="BD7" s="78" t="s">
        <v>92</v>
      </c>
      <c r="BE7" s="78" t="s">
        <v>93</v>
      </c>
    </row>
    <row r="8" spans="1:57" x14ac:dyDescent="0.2">
      <c r="A8" s="44">
        <v>0</v>
      </c>
      <c r="B8" s="45">
        <v>0</v>
      </c>
      <c r="C8" s="46">
        <v>25</v>
      </c>
      <c r="D8" s="21"/>
      <c r="E8" s="22"/>
      <c r="F8" s="37">
        <v>0</v>
      </c>
      <c r="G8" s="62">
        <f>$J$8*(1-A8)*EXP($B$19/($B$22*$B$23)*A8^2)</f>
        <v>161.10000000000002</v>
      </c>
      <c r="H8" s="112">
        <f>G8/J8</f>
        <v>1</v>
      </c>
      <c r="I8" s="60">
        <f>F8+G8</f>
        <v>161.10000000000002</v>
      </c>
      <c r="J8" s="51">
        <f>160.8+0.3</f>
        <v>161.10000000000002</v>
      </c>
      <c r="K8" s="21"/>
      <c r="L8" s="23"/>
      <c r="M8" s="50" cm="1">
        <f t="array" ref="M8:M16">AN8:AN16</f>
        <v>1</v>
      </c>
      <c r="N8" s="42">
        <v>65</v>
      </c>
      <c r="P8" s="66"/>
      <c r="V8" s="64"/>
      <c r="W8" s="64"/>
      <c r="X8" s="64"/>
      <c r="Y8" s="64"/>
      <c r="Z8" s="64"/>
      <c r="AA8" s="64"/>
      <c r="AB8" s="64"/>
      <c r="AC8" s="64"/>
      <c r="AH8" s="120">
        <v>0</v>
      </c>
      <c r="AI8" s="120">
        <v>1</v>
      </c>
      <c r="AJ8" s="120">
        <v>0</v>
      </c>
      <c r="AK8" s="120">
        <v>406.68740000000003</v>
      </c>
      <c r="AL8" s="82">
        <f>273.15+N8</f>
        <v>338.15</v>
      </c>
      <c r="AM8" s="83">
        <f>AJ8/(AK8+AJ8)</f>
        <v>0</v>
      </c>
      <c r="AN8" s="120">
        <v>1</v>
      </c>
      <c r="AQ8" s="106">
        <v>0</v>
      </c>
      <c r="AR8" s="107">
        <f>1-AQ8</f>
        <v>1</v>
      </c>
      <c r="AS8" s="108">
        <f>100*J8</f>
        <v>16110.000000000002</v>
      </c>
      <c r="AT8" s="109">
        <f>100*I8</f>
        <v>16110.000000000002</v>
      </c>
      <c r="AU8" s="110">
        <f>100*F8</f>
        <v>0</v>
      </c>
      <c r="AV8" s="110">
        <f>100*G8</f>
        <v>16110.000000000002</v>
      </c>
      <c r="AW8" s="110">
        <f>AX8+AY8</f>
        <v>16110.000000000002</v>
      </c>
      <c r="AX8" s="110">
        <f>AQ8*$AU$16</f>
        <v>0</v>
      </c>
      <c r="AY8" s="108">
        <f>AR8*$AV$8</f>
        <v>16110.000000000002</v>
      </c>
      <c r="BB8" s="106">
        <v>0</v>
      </c>
      <c r="BC8" s="108">
        <v>1</v>
      </c>
      <c r="BD8" s="108">
        <v>25</v>
      </c>
      <c r="BE8" s="108">
        <f>25-BD8</f>
        <v>0</v>
      </c>
    </row>
    <row r="9" spans="1:57" x14ac:dyDescent="0.2">
      <c r="A9" s="34">
        <v>0.125</v>
      </c>
      <c r="B9" s="35">
        <v>3.47</v>
      </c>
      <c r="C9" s="36">
        <v>21.53</v>
      </c>
      <c r="D9" s="37">
        <v>76.167400000000001</v>
      </c>
      <c r="E9" s="38">
        <v>392.01479999999998</v>
      </c>
      <c r="F9" s="37">
        <f>$J$16*A9*EXP($B$19/($B$22*$B$23)*(1-A9)^2)</f>
        <v>14.199318279624851</v>
      </c>
      <c r="G9" s="39">
        <f>$J$8*(1-A9)*EXP($B$19/($B$22*$B$23)*A9^2)</f>
        <v>142.63644047850235</v>
      </c>
      <c r="H9" s="113">
        <f>G9/(F9+G9)</f>
        <v>0.90946377030302694</v>
      </c>
      <c r="I9" s="60">
        <f t="shared" ref="I9:I16" si="0">F9+G9</f>
        <v>156.83575875812721</v>
      </c>
      <c r="J9" s="41">
        <f>160.5+0.3</f>
        <v>160.80000000000001</v>
      </c>
      <c r="K9" s="37">
        <v>43.066800000000001</v>
      </c>
      <c r="L9" s="39">
        <v>363.69580000000002</v>
      </c>
      <c r="M9" s="40">
        <v>0.89412300934255018</v>
      </c>
      <c r="N9" s="42">
        <v>68</v>
      </c>
      <c r="P9" s="66"/>
      <c r="Q9" s="66"/>
      <c r="R9" s="66"/>
      <c r="V9" s="79">
        <f>A9</f>
        <v>0.125</v>
      </c>
      <c r="W9" s="80">
        <f>1-V9</f>
        <v>0.875</v>
      </c>
      <c r="X9" s="81">
        <v>76.167400000000001</v>
      </c>
      <c r="Y9" s="81">
        <v>392.01479999999998</v>
      </c>
      <c r="Z9" s="83">
        <f>V9/W9</f>
        <v>0.14285714285714285</v>
      </c>
      <c r="AA9" s="79">
        <f>X9/Y9</f>
        <v>0.1942972561240035</v>
      </c>
      <c r="AB9" s="79">
        <f>W9/V9</f>
        <v>7</v>
      </c>
      <c r="AC9" s="79">
        <f>Y9/X9</f>
        <v>5.1467530728369351</v>
      </c>
      <c r="AG9" s="90"/>
      <c r="AH9" s="79">
        <f>V9</f>
        <v>0.125</v>
      </c>
      <c r="AI9" s="80">
        <f>1-AH9</f>
        <v>0.875</v>
      </c>
      <c r="AJ9" s="81">
        <v>43.066800000000001</v>
      </c>
      <c r="AK9" s="81">
        <v>363.69580000000002</v>
      </c>
      <c r="AL9" s="82">
        <f t="shared" ref="AL9:AL16" si="1">273.15+N9</f>
        <v>341.15</v>
      </c>
      <c r="AM9" s="83">
        <f>AJ9/(AK9+AJ9)</f>
        <v>0.10587699065744982</v>
      </c>
      <c r="AN9" s="79">
        <f>1-AM9</f>
        <v>0.89412300934255018</v>
      </c>
      <c r="AQ9" s="106">
        <v>0.125</v>
      </c>
      <c r="AR9" s="107">
        <f t="shared" ref="AR9:AR16" si="2">1-AQ9</f>
        <v>0.875</v>
      </c>
      <c r="AS9" s="108">
        <f t="shared" ref="AS9:AS16" si="3">100*J9</f>
        <v>16080.000000000002</v>
      </c>
      <c r="AT9" s="109">
        <f>100*I9</f>
        <v>15683.575875812721</v>
      </c>
      <c r="AU9" s="110">
        <f t="shared" ref="AU9:AU16" si="4">100*F9</f>
        <v>1419.9318279624852</v>
      </c>
      <c r="AV9" s="110">
        <f t="shared" ref="AV9:AV16" si="5">100*G9</f>
        <v>14263.644047850235</v>
      </c>
      <c r="AW9" s="110">
        <f t="shared" ref="AW9:AW16" si="6">AX9+AY9</f>
        <v>14892.500000000002</v>
      </c>
      <c r="AX9" s="110">
        <f>AQ9*$AU$16</f>
        <v>796.25</v>
      </c>
      <c r="AY9" s="108">
        <f t="shared" ref="AY9:AY16" si="7">AR9*$AV$8</f>
        <v>14096.250000000002</v>
      </c>
      <c r="BB9" s="106">
        <v>0.125</v>
      </c>
      <c r="BC9" s="107">
        <f>177/1400</f>
        <v>0.12642857142857142</v>
      </c>
      <c r="BD9" s="108">
        <v>22.19</v>
      </c>
      <c r="BE9" s="108">
        <f t="shared" ref="BE9:BE16" si="8">25-BD9</f>
        <v>2.8099999999999987</v>
      </c>
    </row>
    <row r="10" spans="1:57" x14ac:dyDescent="0.2">
      <c r="A10" s="34">
        <v>0.25</v>
      </c>
      <c r="B10" s="35">
        <v>6.8</v>
      </c>
      <c r="C10" s="36">
        <v>18.16</v>
      </c>
      <c r="D10" s="37">
        <v>135.4417</v>
      </c>
      <c r="E10" s="38">
        <v>324.9914</v>
      </c>
      <c r="F10" s="37">
        <f t="shared" ref="F10:F16" si="9">$J$16*A10*EXP($B$19/($B$22*$B$23)*(1-A10)^2)</f>
        <v>24.358346459088011</v>
      </c>
      <c r="G10" s="39">
        <f t="shared" ref="G10:G16" si="10">$J$8*(1-A10)*EXP($B$19/($B$22*$B$23)*A10^2)</f>
        <v>126.66726682659446</v>
      </c>
      <c r="H10" s="113">
        <f>G10/(F10+G10)</f>
        <v>0.83871380536617068</v>
      </c>
      <c r="I10" s="60">
        <f t="shared" si="0"/>
        <v>151.02561328568248</v>
      </c>
      <c r="J10" s="41">
        <f>165.6+0.3</f>
        <v>165.9</v>
      </c>
      <c r="K10" s="37">
        <v>77.704599999999999</v>
      </c>
      <c r="L10" s="39">
        <v>338.05130000000003</v>
      </c>
      <c r="M10" s="40">
        <v>0.81310042743831179</v>
      </c>
      <c r="N10" s="42">
        <v>76</v>
      </c>
      <c r="P10" s="66"/>
      <c r="Q10" s="66"/>
      <c r="R10" s="66"/>
      <c r="V10" s="79">
        <f t="shared" ref="V10:V15" si="11">A10</f>
        <v>0.25</v>
      </c>
      <c r="W10" s="80">
        <f t="shared" ref="W10:W15" si="12">1-V10</f>
        <v>0.75</v>
      </c>
      <c r="X10" s="81">
        <v>135.4417</v>
      </c>
      <c r="Y10" s="81">
        <v>324.9914</v>
      </c>
      <c r="Z10" s="83">
        <f t="shared" ref="Z10:Z15" si="13">V10/W10</f>
        <v>0.33333333333333331</v>
      </c>
      <c r="AA10" s="79">
        <f t="shared" ref="AA10:AA15" si="14">X10/Y10</f>
        <v>0.41675472027875199</v>
      </c>
      <c r="AB10" s="79">
        <f t="shared" ref="AB10:AB15" si="15">W10/V10</f>
        <v>3</v>
      </c>
      <c r="AC10" s="79">
        <f t="shared" ref="AC10:AC15" si="16">Y10/X10</f>
        <v>2.3994929183552776</v>
      </c>
      <c r="AG10" s="90"/>
      <c r="AH10" s="79">
        <f t="shared" ref="AH10:AH15" si="17">V10</f>
        <v>0.25</v>
      </c>
      <c r="AI10" s="80">
        <f t="shared" ref="AI10:AI15" si="18">1-AH10</f>
        <v>0.75</v>
      </c>
      <c r="AJ10" s="81">
        <v>77.704599999999999</v>
      </c>
      <c r="AK10" s="81">
        <v>338.05130000000003</v>
      </c>
      <c r="AL10" s="82">
        <f t="shared" si="1"/>
        <v>349.15</v>
      </c>
      <c r="AM10" s="83">
        <f t="shared" ref="AM10:AM16" si="19">AJ10/(AK10+AJ10)</f>
        <v>0.18689957256168824</v>
      </c>
      <c r="AN10" s="79">
        <f t="shared" ref="AN10:AN15" si="20">1-AM10</f>
        <v>0.81310042743831179</v>
      </c>
      <c r="AQ10" s="106">
        <v>0.25</v>
      </c>
      <c r="AR10" s="107">
        <f t="shared" si="2"/>
        <v>0.75</v>
      </c>
      <c r="AS10" s="108">
        <f t="shared" si="3"/>
        <v>16590</v>
      </c>
      <c r="AT10" s="109">
        <f>100*I10</f>
        <v>15102.561328568248</v>
      </c>
      <c r="AU10" s="110">
        <f t="shared" si="4"/>
        <v>2435.8346459088011</v>
      </c>
      <c r="AV10" s="110">
        <f t="shared" si="5"/>
        <v>12666.726682659446</v>
      </c>
      <c r="AW10" s="110">
        <f t="shared" si="6"/>
        <v>13675.000000000002</v>
      </c>
      <c r="AX10" s="110">
        <f t="shared" ref="AX9:AX16" si="21">AQ10*$AU$16</f>
        <v>1592.5</v>
      </c>
      <c r="AY10" s="108">
        <f t="shared" si="7"/>
        <v>12082.500000000002</v>
      </c>
      <c r="BB10" s="106">
        <v>0.25</v>
      </c>
      <c r="BC10" s="107">
        <f>59/200</f>
        <v>0.29499999999999998</v>
      </c>
      <c r="BD10" s="108">
        <v>19.309999999999999</v>
      </c>
      <c r="BE10" s="108">
        <f t="shared" si="8"/>
        <v>5.6900000000000013</v>
      </c>
    </row>
    <row r="11" spans="1:57" x14ac:dyDescent="0.2">
      <c r="A11" s="34">
        <v>0.375</v>
      </c>
      <c r="B11" s="35">
        <v>10.1</v>
      </c>
      <c r="C11" s="36">
        <v>14.9</v>
      </c>
      <c r="D11" s="37">
        <v>200.31290000000001</v>
      </c>
      <c r="E11" s="38">
        <v>267.69380000000001</v>
      </c>
      <c r="F11" s="37">
        <f t="shared" si="9"/>
        <v>32.088038784473071</v>
      </c>
      <c r="G11" s="39">
        <f t="shared" si="10"/>
        <v>111.97411750350689</v>
      </c>
      <c r="H11" s="113">
        <f t="shared" ref="H11:H16" si="22">G11/(F11+G11)</f>
        <v>0.7772625399252725</v>
      </c>
      <c r="I11" s="60">
        <f t="shared" si="0"/>
        <v>144.06215628797997</v>
      </c>
      <c r="J11" s="41">
        <f>160.9+0.3</f>
        <v>161.20000000000002</v>
      </c>
      <c r="K11" s="37">
        <v>122.7308</v>
      </c>
      <c r="L11" s="39">
        <v>297.77569999999997</v>
      </c>
      <c r="M11" s="40">
        <v>0.70813578387016607</v>
      </c>
      <c r="N11" s="42">
        <v>76</v>
      </c>
      <c r="P11" s="66"/>
      <c r="Q11" s="66"/>
      <c r="R11" s="66"/>
      <c r="V11" s="79">
        <f t="shared" si="11"/>
        <v>0.375</v>
      </c>
      <c r="W11" s="80">
        <f t="shared" si="12"/>
        <v>0.625</v>
      </c>
      <c r="X11" s="81">
        <v>200.31290000000001</v>
      </c>
      <c r="Y11" s="81">
        <v>267.69380000000001</v>
      </c>
      <c r="Z11" s="83">
        <f t="shared" si="13"/>
        <v>0.6</v>
      </c>
      <c r="AA11" s="79">
        <f t="shared" si="14"/>
        <v>0.74829114458384915</v>
      </c>
      <c r="AB11" s="79">
        <f t="shared" si="15"/>
        <v>1.6666666666666667</v>
      </c>
      <c r="AC11" s="79">
        <f t="shared" si="16"/>
        <v>1.3363782362493879</v>
      </c>
      <c r="AG11" s="90"/>
      <c r="AH11" s="79">
        <f t="shared" si="17"/>
        <v>0.375</v>
      </c>
      <c r="AI11" s="80">
        <f t="shared" si="18"/>
        <v>0.625</v>
      </c>
      <c r="AJ11" s="81">
        <v>122.7308</v>
      </c>
      <c r="AK11" s="81">
        <v>297.77569999999997</v>
      </c>
      <c r="AL11" s="82">
        <f t="shared" si="1"/>
        <v>349.15</v>
      </c>
      <c r="AM11" s="83">
        <f t="shared" si="19"/>
        <v>0.29186421612983393</v>
      </c>
      <c r="AN11" s="79">
        <f t="shared" si="20"/>
        <v>0.70813578387016607</v>
      </c>
      <c r="AQ11" s="106">
        <v>0.375</v>
      </c>
      <c r="AR11" s="107">
        <f t="shared" si="2"/>
        <v>0.625</v>
      </c>
      <c r="AS11" s="108">
        <f t="shared" si="3"/>
        <v>16120.000000000002</v>
      </c>
      <c r="AT11" s="109">
        <f>100*I11</f>
        <v>14406.215628797998</v>
      </c>
      <c r="AU11" s="110">
        <f t="shared" si="4"/>
        <v>3208.8038784473069</v>
      </c>
      <c r="AV11" s="110">
        <f t="shared" si="5"/>
        <v>11197.41175035069</v>
      </c>
      <c r="AW11" s="110">
        <f t="shared" si="6"/>
        <v>12457.500000000002</v>
      </c>
      <c r="AX11" s="110">
        <f t="shared" si="21"/>
        <v>2388.75</v>
      </c>
      <c r="AY11" s="108">
        <f t="shared" si="7"/>
        <v>10068.750000000002</v>
      </c>
      <c r="BB11" s="106">
        <v>0.375</v>
      </c>
      <c r="BC11" s="107">
        <f>531/1000</f>
        <v>0.53100000000000003</v>
      </c>
      <c r="BD11" s="108">
        <v>16.329999999999998</v>
      </c>
      <c r="BE11" s="108">
        <f t="shared" si="8"/>
        <v>8.6700000000000017</v>
      </c>
    </row>
    <row r="12" spans="1:57" x14ac:dyDescent="0.2">
      <c r="A12" s="34">
        <v>0.5</v>
      </c>
      <c r="B12" s="35">
        <v>13.26</v>
      </c>
      <c r="C12" s="36">
        <v>11.74</v>
      </c>
      <c r="D12" s="37">
        <v>255.24080000000001</v>
      </c>
      <c r="E12" s="38">
        <v>206.96440000000001</v>
      </c>
      <c r="F12" s="37">
        <f t="shared" si="9"/>
        <v>38.471562025756484</v>
      </c>
      <c r="G12" s="39">
        <f t="shared" si="10"/>
        <v>97.296211025892802</v>
      </c>
      <c r="H12" s="113">
        <f>G12/(F12+G12)</f>
        <v>0.7166370106761567</v>
      </c>
      <c r="I12" s="60">
        <f t="shared" si="0"/>
        <v>135.76777305164927</v>
      </c>
      <c r="J12" s="41">
        <f>130.3+0.3</f>
        <v>130.60000000000002</v>
      </c>
      <c r="K12" s="37">
        <v>160.38570000000001</v>
      </c>
      <c r="L12" s="39">
        <v>259.17259999999999</v>
      </c>
      <c r="M12" s="40">
        <v>0.61772726221838536</v>
      </c>
      <c r="N12" s="42">
        <v>79</v>
      </c>
      <c r="P12" s="66"/>
      <c r="Q12" s="66"/>
      <c r="R12" s="66"/>
      <c r="V12" s="79">
        <f t="shared" si="11"/>
        <v>0.5</v>
      </c>
      <c r="W12" s="80">
        <f t="shared" si="12"/>
        <v>0.5</v>
      </c>
      <c r="X12" s="81">
        <v>255.24080000000001</v>
      </c>
      <c r="Y12" s="81">
        <v>206.96440000000001</v>
      </c>
      <c r="Z12" s="83">
        <f t="shared" si="13"/>
        <v>1</v>
      </c>
      <c r="AA12" s="79">
        <f t="shared" si="14"/>
        <v>1.2332594397877124</v>
      </c>
      <c r="AB12" s="79">
        <f t="shared" si="15"/>
        <v>1</v>
      </c>
      <c r="AC12" s="79">
        <f t="shared" si="16"/>
        <v>0.81085939238554339</v>
      </c>
      <c r="AG12" s="90"/>
      <c r="AH12" s="79">
        <f t="shared" si="17"/>
        <v>0.5</v>
      </c>
      <c r="AI12" s="80">
        <f t="shared" si="18"/>
        <v>0.5</v>
      </c>
      <c r="AJ12" s="81">
        <v>160.38570000000001</v>
      </c>
      <c r="AK12" s="81">
        <v>259.17259999999999</v>
      </c>
      <c r="AL12" s="82">
        <f t="shared" si="1"/>
        <v>352.15</v>
      </c>
      <c r="AM12" s="83">
        <f t="shared" si="19"/>
        <v>0.38227273778161464</v>
      </c>
      <c r="AN12" s="79">
        <f t="shared" si="20"/>
        <v>0.61772726221838536</v>
      </c>
      <c r="AQ12" s="106">
        <v>0.5</v>
      </c>
      <c r="AR12" s="107">
        <f t="shared" si="2"/>
        <v>0.5</v>
      </c>
      <c r="AS12" s="108">
        <f t="shared" si="3"/>
        <v>13060.000000000002</v>
      </c>
      <c r="AT12" s="109">
        <f>100*I12</f>
        <v>13576.777305164927</v>
      </c>
      <c r="AU12" s="110">
        <f t="shared" si="4"/>
        <v>3847.1562025756484</v>
      </c>
      <c r="AV12" s="110">
        <f t="shared" si="5"/>
        <v>9729.6211025892808</v>
      </c>
      <c r="AW12" s="110">
        <f t="shared" si="6"/>
        <v>11240</v>
      </c>
      <c r="AX12" s="110">
        <f t="shared" si="21"/>
        <v>3185</v>
      </c>
      <c r="AY12" s="108">
        <f t="shared" si="7"/>
        <v>8055.0000000000009</v>
      </c>
      <c r="BB12" s="106">
        <v>0.5</v>
      </c>
      <c r="BC12" s="107">
        <f>177/200</f>
        <v>0.88500000000000001</v>
      </c>
      <c r="BD12" s="108">
        <v>13.26</v>
      </c>
      <c r="BE12" s="108">
        <f t="shared" si="8"/>
        <v>11.74</v>
      </c>
    </row>
    <row r="13" spans="1:57" x14ac:dyDescent="0.2">
      <c r="A13" s="34">
        <v>0.625</v>
      </c>
      <c r="B13" s="35">
        <v>16.329999999999998</v>
      </c>
      <c r="C13" s="36">
        <v>8.67</v>
      </c>
      <c r="D13" s="37">
        <v>321.73579999999998</v>
      </c>
      <c r="E13" s="38">
        <v>157.25460000000001</v>
      </c>
      <c r="F13" s="37">
        <f t="shared" si="9"/>
        <v>44.275302824167518</v>
      </c>
      <c r="G13" s="39">
        <f t="shared" si="10"/>
        <v>81.152010175488428</v>
      </c>
      <c r="H13" s="113">
        <f t="shared" si="22"/>
        <v>0.64700429463645637</v>
      </c>
      <c r="I13" s="60">
        <f t="shared" si="0"/>
        <v>125.42731299965595</v>
      </c>
      <c r="J13" s="41">
        <f>126.4+0.3</f>
        <v>126.7</v>
      </c>
      <c r="K13" s="37">
        <v>219.54429999999999</v>
      </c>
      <c r="L13" s="39">
        <v>211.11449999999999</v>
      </c>
      <c r="M13" s="40">
        <v>0.49021290172173426</v>
      </c>
      <c r="N13" s="42">
        <v>82</v>
      </c>
      <c r="P13" s="66"/>
      <c r="Q13" s="66"/>
      <c r="R13" s="66"/>
      <c r="V13" s="79">
        <f t="shared" si="11"/>
        <v>0.625</v>
      </c>
      <c r="W13" s="80">
        <f t="shared" si="12"/>
        <v>0.375</v>
      </c>
      <c r="X13" s="81">
        <v>321.73579999999998</v>
      </c>
      <c r="Y13" s="81">
        <v>157.25460000000001</v>
      </c>
      <c r="Z13" s="83">
        <f t="shared" si="13"/>
        <v>1.6666666666666667</v>
      </c>
      <c r="AA13" s="79">
        <f t="shared" si="14"/>
        <v>2.0459547765216404</v>
      </c>
      <c r="AB13" s="79">
        <f t="shared" si="15"/>
        <v>0.6</v>
      </c>
      <c r="AC13" s="79">
        <f t="shared" si="16"/>
        <v>0.48876935672063854</v>
      </c>
      <c r="AG13" s="90"/>
      <c r="AH13" s="79">
        <f t="shared" si="17"/>
        <v>0.625</v>
      </c>
      <c r="AI13" s="80">
        <f t="shared" si="18"/>
        <v>0.375</v>
      </c>
      <c r="AJ13" s="81">
        <v>219.54429999999999</v>
      </c>
      <c r="AK13" s="81">
        <v>211.11449999999999</v>
      </c>
      <c r="AL13" s="82">
        <f t="shared" si="1"/>
        <v>355.15</v>
      </c>
      <c r="AM13" s="83">
        <f t="shared" si="19"/>
        <v>0.50978709827826574</v>
      </c>
      <c r="AN13" s="79">
        <f t="shared" si="20"/>
        <v>0.49021290172173426</v>
      </c>
      <c r="AQ13" s="106">
        <v>0.625</v>
      </c>
      <c r="AR13" s="107">
        <f t="shared" si="2"/>
        <v>0.375</v>
      </c>
      <c r="AS13" s="108">
        <f t="shared" si="3"/>
        <v>12670</v>
      </c>
      <c r="AT13" s="109">
        <f>100*I13</f>
        <v>12542.731299965595</v>
      </c>
      <c r="AU13" s="110">
        <f t="shared" si="4"/>
        <v>4427.530282416752</v>
      </c>
      <c r="AV13" s="110">
        <f t="shared" si="5"/>
        <v>8115.2010175488431</v>
      </c>
      <c r="AW13" s="110">
        <f t="shared" si="6"/>
        <v>10022.5</v>
      </c>
      <c r="AX13" s="110">
        <f t="shared" si="21"/>
        <v>3981.25</v>
      </c>
      <c r="AY13" s="108">
        <f t="shared" si="7"/>
        <v>6041.2500000000009</v>
      </c>
      <c r="BB13" s="106">
        <v>0.625</v>
      </c>
      <c r="BC13" s="107">
        <f>59/40</f>
        <v>1.4750000000000001</v>
      </c>
      <c r="BD13" s="108">
        <v>10.1</v>
      </c>
      <c r="BE13" s="108">
        <f t="shared" si="8"/>
        <v>14.9</v>
      </c>
    </row>
    <row r="14" spans="1:57" x14ac:dyDescent="0.2">
      <c r="A14" s="34">
        <v>0.75</v>
      </c>
      <c r="B14" s="35">
        <v>19.309999999999999</v>
      </c>
      <c r="C14" s="36">
        <v>5.69</v>
      </c>
      <c r="D14" s="37">
        <v>372.97219999999999</v>
      </c>
      <c r="E14" s="38">
        <v>103.3372</v>
      </c>
      <c r="F14" s="37">
        <f t="shared" si="9"/>
        <v>50.085070743973091</v>
      </c>
      <c r="G14" s="39">
        <f t="shared" si="10"/>
        <v>61.603290652418835</v>
      </c>
      <c r="H14" s="113">
        <f t="shared" si="22"/>
        <v>0.55156410105958376</v>
      </c>
      <c r="I14" s="60">
        <f t="shared" si="0"/>
        <v>111.68836139639193</v>
      </c>
      <c r="J14" s="41">
        <f>94.4+0.3</f>
        <v>94.7</v>
      </c>
      <c r="K14" s="37">
        <v>268.67219999999998</v>
      </c>
      <c r="L14" s="39">
        <v>135.33789999999999</v>
      </c>
      <c r="M14" s="40">
        <v>0.334986427319515</v>
      </c>
      <c r="N14" s="42">
        <v>86</v>
      </c>
      <c r="P14" s="66"/>
      <c r="Q14" s="66"/>
      <c r="R14" s="66"/>
      <c r="V14" s="79">
        <f t="shared" si="11"/>
        <v>0.75</v>
      </c>
      <c r="W14" s="80">
        <f t="shared" si="12"/>
        <v>0.25</v>
      </c>
      <c r="X14" s="81">
        <v>372.97219999999999</v>
      </c>
      <c r="Y14" s="81">
        <v>103.3372</v>
      </c>
      <c r="Z14" s="83">
        <f t="shared" si="13"/>
        <v>3</v>
      </c>
      <c r="AA14" s="79">
        <f t="shared" si="14"/>
        <v>3.6092733304173135</v>
      </c>
      <c r="AB14" s="79">
        <f t="shared" si="15"/>
        <v>0.33333333333333331</v>
      </c>
      <c r="AC14" s="79">
        <f t="shared" si="16"/>
        <v>0.27706408145164707</v>
      </c>
      <c r="AG14" s="90"/>
      <c r="AH14" s="79">
        <f t="shared" si="17"/>
        <v>0.75</v>
      </c>
      <c r="AI14" s="80">
        <f t="shared" si="18"/>
        <v>0.25</v>
      </c>
      <c r="AJ14" s="81">
        <v>268.67219999999998</v>
      </c>
      <c r="AK14" s="81">
        <v>135.33789999999999</v>
      </c>
      <c r="AL14" s="82">
        <f t="shared" si="1"/>
        <v>359.15</v>
      </c>
      <c r="AM14" s="83">
        <f t="shared" si="19"/>
        <v>0.665013572680485</v>
      </c>
      <c r="AN14" s="79">
        <f t="shared" si="20"/>
        <v>0.334986427319515</v>
      </c>
      <c r="AQ14" s="106">
        <v>0.75</v>
      </c>
      <c r="AR14" s="107">
        <f t="shared" si="2"/>
        <v>0.25</v>
      </c>
      <c r="AS14" s="108">
        <f t="shared" si="3"/>
        <v>9470</v>
      </c>
      <c r="AT14" s="109">
        <f>100*I14</f>
        <v>11168.836139639192</v>
      </c>
      <c r="AU14" s="110">
        <f t="shared" si="4"/>
        <v>5008.5070743973092</v>
      </c>
      <c r="AV14" s="110">
        <f t="shared" si="5"/>
        <v>6160.3290652418837</v>
      </c>
      <c r="AW14" s="110">
        <f t="shared" si="6"/>
        <v>8805</v>
      </c>
      <c r="AX14" s="110">
        <f t="shared" si="21"/>
        <v>4777.5</v>
      </c>
      <c r="AY14" s="108">
        <f t="shared" si="7"/>
        <v>4027.5000000000005</v>
      </c>
      <c r="BB14" s="106">
        <v>0.75</v>
      </c>
      <c r="BC14" s="107">
        <f>531/200</f>
        <v>2.6549999999999998</v>
      </c>
      <c r="BD14" s="108">
        <v>6.84</v>
      </c>
      <c r="BE14" s="108">
        <f t="shared" si="8"/>
        <v>18.16</v>
      </c>
    </row>
    <row r="15" spans="1:57" x14ac:dyDescent="0.2">
      <c r="A15" s="34">
        <v>0.875</v>
      </c>
      <c r="B15" s="35">
        <v>22.19</v>
      </c>
      <c r="C15" s="36">
        <v>2.81</v>
      </c>
      <c r="D15" s="37">
        <v>417.8252</v>
      </c>
      <c r="E15" s="38">
        <v>44.416800000000002</v>
      </c>
      <c r="F15" s="37">
        <f t="shared" si="9"/>
        <v>56.399387079333316</v>
      </c>
      <c r="G15" s="39">
        <f t="shared" si="10"/>
        <v>35.910677784106184</v>
      </c>
      <c r="H15" s="113">
        <f t="shared" si="22"/>
        <v>0.38902234374151151</v>
      </c>
      <c r="I15" s="60">
        <f t="shared" si="0"/>
        <v>92.310064863439493</v>
      </c>
      <c r="J15" s="41">
        <f>86+0.3</f>
        <v>86.3</v>
      </c>
      <c r="K15" s="37">
        <v>360.3306</v>
      </c>
      <c r="L15" s="39">
        <v>62.171199999999999</v>
      </c>
      <c r="M15" s="40">
        <v>0.14715014231892032</v>
      </c>
      <c r="N15" s="42">
        <v>88</v>
      </c>
      <c r="P15" s="66"/>
      <c r="Q15" s="66"/>
      <c r="R15" s="66"/>
      <c r="V15" s="79">
        <f t="shared" si="11"/>
        <v>0.875</v>
      </c>
      <c r="W15" s="80">
        <f t="shared" si="12"/>
        <v>0.125</v>
      </c>
      <c r="X15" s="81">
        <v>417.8252</v>
      </c>
      <c r="Y15" s="81">
        <v>44.416800000000002</v>
      </c>
      <c r="Z15" s="83">
        <f t="shared" si="13"/>
        <v>7</v>
      </c>
      <c r="AA15" s="79">
        <f t="shared" si="14"/>
        <v>9.4069181030601037</v>
      </c>
      <c r="AB15" s="79">
        <f t="shared" si="15"/>
        <v>0.14285714285714285</v>
      </c>
      <c r="AC15" s="79">
        <f t="shared" si="16"/>
        <v>0.10630474179154345</v>
      </c>
      <c r="AG15" s="90"/>
      <c r="AH15" s="79">
        <f t="shared" si="17"/>
        <v>0.875</v>
      </c>
      <c r="AI15" s="80">
        <f t="shared" si="18"/>
        <v>0.125</v>
      </c>
      <c r="AJ15" s="81">
        <v>360.3306</v>
      </c>
      <c r="AK15" s="81">
        <v>62.171199999999999</v>
      </c>
      <c r="AL15" s="82">
        <f t="shared" si="1"/>
        <v>361.15</v>
      </c>
      <c r="AM15" s="83">
        <f t="shared" si="19"/>
        <v>0.85284985768107968</v>
      </c>
      <c r="AN15" s="79">
        <f t="shared" si="20"/>
        <v>0.14715014231892032</v>
      </c>
      <c r="AQ15" s="106">
        <v>0.875</v>
      </c>
      <c r="AR15" s="107">
        <f t="shared" si="2"/>
        <v>0.125</v>
      </c>
      <c r="AS15" s="108">
        <f t="shared" si="3"/>
        <v>8630</v>
      </c>
      <c r="AT15" s="109">
        <f>100*I15</f>
        <v>9231.0064863439493</v>
      </c>
      <c r="AU15" s="110">
        <f t="shared" si="4"/>
        <v>5639.9387079333319</v>
      </c>
      <c r="AV15" s="110">
        <f t="shared" si="5"/>
        <v>3591.0677784106183</v>
      </c>
      <c r="AW15" s="110">
        <f t="shared" si="6"/>
        <v>7587.5</v>
      </c>
      <c r="AX15" s="110">
        <f t="shared" si="21"/>
        <v>5573.75</v>
      </c>
      <c r="AY15" s="108">
        <f t="shared" si="7"/>
        <v>2013.7500000000002</v>
      </c>
      <c r="BB15" s="106">
        <v>0.875</v>
      </c>
      <c r="BC15" s="107">
        <f>1239/200</f>
        <v>6.1950000000000003</v>
      </c>
      <c r="BD15" s="108">
        <v>3.47</v>
      </c>
      <c r="BE15" s="108">
        <f t="shared" si="8"/>
        <v>21.53</v>
      </c>
    </row>
    <row r="16" spans="1:57" ht="16" thickBot="1" x14ac:dyDescent="0.25">
      <c r="A16" s="47">
        <v>1</v>
      </c>
      <c r="B16" s="48">
        <v>25</v>
      </c>
      <c r="C16" s="49">
        <v>0</v>
      </c>
      <c r="D16" s="24"/>
      <c r="E16" s="25"/>
      <c r="F16" s="67">
        <f t="shared" si="9"/>
        <v>63.699999999999996</v>
      </c>
      <c r="G16" s="62">
        <f t="shared" si="10"/>
        <v>0</v>
      </c>
      <c r="H16" s="113">
        <f t="shared" si="22"/>
        <v>0</v>
      </c>
      <c r="I16" s="60">
        <f t="shared" si="0"/>
        <v>63.699999999999996</v>
      </c>
      <c r="J16" s="53">
        <f>63.4+0.3</f>
        <v>63.699999999999996</v>
      </c>
      <c r="K16" s="24"/>
      <c r="L16" s="26"/>
      <c r="M16" s="52">
        <v>0</v>
      </c>
      <c r="N16" s="55">
        <v>95</v>
      </c>
      <c r="P16" s="66"/>
      <c r="V16" s="64"/>
      <c r="W16" s="64"/>
      <c r="X16" s="64"/>
      <c r="Y16" s="64"/>
      <c r="Z16" s="64"/>
      <c r="AA16" s="64"/>
      <c r="AB16" s="64"/>
      <c r="AC16" s="64"/>
      <c r="AH16" s="120">
        <v>1</v>
      </c>
      <c r="AI16" s="120">
        <v>0</v>
      </c>
      <c r="AJ16" s="120">
        <v>431.60700000000003</v>
      </c>
      <c r="AK16" s="120">
        <v>0</v>
      </c>
      <c r="AL16" s="82">
        <f t="shared" si="1"/>
        <v>368.15</v>
      </c>
      <c r="AM16" s="122">
        <f t="shared" si="19"/>
        <v>1</v>
      </c>
      <c r="AN16" s="120">
        <v>0</v>
      </c>
      <c r="AQ16" s="106">
        <v>1</v>
      </c>
      <c r="AR16" s="107">
        <f t="shared" si="2"/>
        <v>0</v>
      </c>
      <c r="AS16" s="108">
        <f t="shared" si="3"/>
        <v>6370</v>
      </c>
      <c r="AT16" s="109">
        <f>100*I16</f>
        <v>6370</v>
      </c>
      <c r="AU16" s="110">
        <f t="shared" si="4"/>
        <v>6370</v>
      </c>
      <c r="AV16" s="110">
        <f t="shared" si="5"/>
        <v>0</v>
      </c>
      <c r="AW16" s="110">
        <f t="shared" si="6"/>
        <v>6370</v>
      </c>
      <c r="AX16" s="110">
        <f t="shared" si="21"/>
        <v>6370</v>
      </c>
      <c r="AY16" s="108">
        <f t="shared" si="7"/>
        <v>0</v>
      </c>
      <c r="BB16" s="106">
        <v>1</v>
      </c>
      <c r="BC16" s="107">
        <v>0</v>
      </c>
      <c r="BD16" s="108">
        <v>0</v>
      </c>
      <c r="BE16" s="108">
        <f t="shared" si="8"/>
        <v>25</v>
      </c>
    </row>
    <row r="17" spans="1:57" ht="17" thickTop="1" thickBot="1" x14ac:dyDescent="0.25">
      <c r="A17"/>
      <c r="B17"/>
      <c r="C17"/>
      <c r="D17"/>
      <c r="E17"/>
      <c r="F17"/>
      <c r="G17"/>
      <c r="H17" s="114"/>
      <c r="I17" s="115"/>
      <c r="K17"/>
      <c r="L17"/>
      <c r="M17"/>
      <c r="N17"/>
      <c r="BB17" s="121"/>
      <c r="BC17" s="121"/>
      <c r="BD17" s="121"/>
      <c r="BE17" s="121"/>
    </row>
    <row r="18" spans="1:57" ht="16" thickTop="1" x14ac:dyDescent="0.2">
      <c r="A18" s="3" t="s">
        <v>16</v>
      </c>
      <c r="B18" s="20"/>
      <c r="C18"/>
      <c r="D18"/>
      <c r="E18"/>
      <c r="F18"/>
      <c r="G18"/>
      <c r="H18" s="114"/>
      <c r="I18" s="115"/>
      <c r="K18"/>
      <c r="L18"/>
      <c r="M18"/>
    </row>
    <row r="19" spans="1:57" ht="18" thickBot="1" x14ac:dyDescent="0.25">
      <c r="A19" s="58" t="s">
        <v>17</v>
      </c>
      <c r="B19" s="65">
        <v>1841.4093302584099</v>
      </c>
      <c r="D19"/>
      <c r="E19"/>
      <c r="F19"/>
      <c r="G19"/>
      <c r="H19" s="114"/>
      <c r="I19" s="115"/>
      <c r="K19"/>
      <c r="L19"/>
      <c r="M19"/>
    </row>
    <row r="20" spans="1:57" ht="16" thickTop="1" x14ac:dyDescent="0.2">
      <c r="C20"/>
      <c r="D20"/>
      <c r="E20"/>
      <c r="F20"/>
      <c r="G20"/>
      <c r="H20" s="114"/>
      <c r="I20" s="115"/>
      <c r="K20"/>
      <c r="L20"/>
      <c r="M20"/>
    </row>
    <row r="21" spans="1:57" x14ac:dyDescent="0.2">
      <c r="C21"/>
      <c r="D21"/>
      <c r="E21"/>
      <c r="F21"/>
      <c r="G21"/>
      <c r="H21" s="114"/>
      <c r="I21" s="115"/>
      <c r="K21"/>
      <c r="L21"/>
      <c r="M21"/>
    </row>
    <row r="22" spans="1:57" x14ac:dyDescent="0.2">
      <c r="A22" s="63" t="s">
        <v>35</v>
      </c>
      <c r="B22" s="64">
        <v>8.3140000000000001</v>
      </c>
      <c r="C22" s="64" t="s">
        <v>38</v>
      </c>
      <c r="H22" s="114"/>
      <c r="I22" s="116"/>
    </row>
    <row r="23" spans="1:57" x14ac:dyDescent="0.2">
      <c r="A23" s="63" t="s">
        <v>36</v>
      </c>
      <c r="B23" s="64">
        <v>293.14999999999998</v>
      </c>
      <c r="C23" s="64" t="s">
        <v>37</v>
      </c>
      <c r="H23" s="114"/>
      <c r="I23" s="116"/>
      <c r="K23" s="62"/>
      <c r="L23" s="62"/>
    </row>
    <row r="24" spans="1:57" x14ac:dyDescent="0.2">
      <c r="E24" s="118"/>
      <c r="F24" s="118"/>
      <c r="G24" s="118"/>
      <c r="H24" s="114"/>
      <c r="I24" s="116"/>
      <c r="K24" s="62"/>
      <c r="L24" s="62"/>
      <c r="M24" s="1" t="s">
        <v>43</v>
      </c>
    </row>
    <row r="25" spans="1:57" x14ac:dyDescent="0.2">
      <c r="A25" s="118"/>
      <c r="B25" s="118"/>
      <c r="C25" s="118"/>
      <c r="D25" s="118"/>
      <c r="E25" s="119"/>
      <c r="F25" s="119"/>
      <c r="G25" s="118"/>
      <c r="H25" s="114"/>
      <c r="I25" s="116"/>
      <c r="J25" s="118"/>
      <c r="K25" s="119"/>
      <c r="L25" s="119"/>
      <c r="M25" s="118"/>
    </row>
    <row r="26" spans="1:57" x14ac:dyDescent="0.2">
      <c r="A26" s="71" t="s">
        <v>42</v>
      </c>
      <c r="B26" s="111"/>
      <c r="C26" s="111"/>
      <c r="D26" s="111"/>
      <c r="E26" s="111"/>
      <c r="F26" s="117"/>
      <c r="G26" s="117"/>
      <c r="H26" s="111"/>
      <c r="I26" s="70"/>
      <c r="J26" s="70"/>
      <c r="K26" s="111"/>
      <c r="L26" s="117"/>
      <c r="M26" s="117"/>
      <c r="P26" s="70"/>
      <c r="Q26" s="70"/>
    </row>
    <row r="27" spans="1:57" x14ac:dyDescent="0.2">
      <c r="A27" s="71"/>
      <c r="B27" s="70"/>
      <c r="C27" s="68" t="s">
        <v>53</v>
      </c>
      <c r="D27" s="68" t="s">
        <v>51</v>
      </c>
      <c r="E27" s="70"/>
      <c r="F27" s="70"/>
      <c r="G27" s="70"/>
      <c r="H27" s="111" t="s">
        <v>52</v>
      </c>
      <c r="I27" s="70"/>
      <c r="J27" s="70"/>
      <c r="K27" s="111"/>
      <c r="L27" s="117"/>
      <c r="M27" s="117"/>
      <c r="P27" s="70"/>
      <c r="Q27" s="70"/>
    </row>
    <row r="28" spans="1:57" x14ac:dyDescent="0.2">
      <c r="A28" s="72" t="s">
        <v>40</v>
      </c>
      <c r="B28" s="73">
        <f t="shared" ref="B28:B36" si="23">EXP($B$19/($B$22*$B$23)*A8^2)</f>
        <v>1</v>
      </c>
      <c r="C28" s="68">
        <f>$B$19/($B$22*$B$23)*A8^2</f>
        <v>0</v>
      </c>
      <c r="D28" s="74">
        <f>1-A8</f>
        <v>1</v>
      </c>
      <c r="E28" s="70"/>
      <c r="F28" s="75" t="s">
        <v>41</v>
      </c>
      <c r="G28" s="76">
        <f>EXP($B$19/($B$22*$B$23)*(1-A8)^2)</f>
        <v>2.1287346680303276</v>
      </c>
      <c r="H28" s="70">
        <f>LN(G28)</f>
        <v>0.75552775063427446</v>
      </c>
      <c r="I28" s="70"/>
      <c r="J28" s="77"/>
      <c r="K28" s="111"/>
      <c r="L28" s="117"/>
      <c r="M28" s="69"/>
      <c r="P28" s="70"/>
      <c r="Q28" s="70"/>
    </row>
    <row r="29" spans="1:57" x14ac:dyDescent="0.2">
      <c r="A29" s="71"/>
      <c r="B29" s="73">
        <f t="shared" si="23"/>
        <v>1.011875076552291</v>
      </c>
      <c r="C29" s="68">
        <f t="shared" ref="C29:C36" si="24">$B$19/($B$22*$B$23)*A9^2</f>
        <v>1.1805121103660539E-2</v>
      </c>
      <c r="D29" s="74">
        <f t="shared" ref="D29:D36" si="25">1-A9</f>
        <v>0.875</v>
      </c>
      <c r="E29" s="70"/>
      <c r="F29" s="70"/>
      <c r="G29" s="76">
        <f>EXP($B$19/($B$22*$B$23)*(1-A9)^2)</f>
        <v>1.7832738812715669</v>
      </c>
      <c r="H29" s="70">
        <f t="shared" ref="H29:H36" si="26">LN(G29)</f>
        <v>0.57845093407936643</v>
      </c>
      <c r="I29" s="70"/>
      <c r="J29" s="77"/>
      <c r="K29" s="111"/>
      <c r="L29" s="117"/>
      <c r="M29" s="69"/>
      <c r="P29" s="70"/>
      <c r="Q29" s="70"/>
    </row>
    <row r="30" spans="1:57" x14ac:dyDescent="0.2">
      <c r="A30" s="71"/>
      <c r="B30" s="73">
        <f t="shared" si="23"/>
        <v>1.0483531291255488</v>
      </c>
      <c r="C30" s="68">
        <f t="shared" si="24"/>
        <v>4.7220484414642154E-2</v>
      </c>
      <c r="D30" s="74">
        <f t="shared" si="25"/>
        <v>0.75</v>
      </c>
      <c r="E30" s="70"/>
      <c r="F30" s="70"/>
      <c r="G30" s="76">
        <f>EXP($B$19/($B$22*$B$23)*(1-A10)^2)</f>
        <v>1.5295664966460292</v>
      </c>
      <c r="H30" s="70">
        <f t="shared" si="26"/>
        <v>0.42498435973177939</v>
      </c>
      <c r="I30" s="70"/>
      <c r="J30" s="77"/>
      <c r="K30" s="111"/>
      <c r="L30" s="117"/>
      <c r="M30" s="70"/>
      <c r="P30" s="70"/>
      <c r="Q30" s="70"/>
    </row>
    <row r="31" spans="1:57" x14ac:dyDescent="0.2">
      <c r="A31" s="71"/>
      <c r="B31" s="73">
        <f t="shared" si="23"/>
        <v>1.1120955183464369</v>
      </c>
      <c r="C31" s="68">
        <f t="shared" si="24"/>
        <v>0.10624608993294485</v>
      </c>
      <c r="D31" s="74">
        <f t="shared" si="25"/>
        <v>0.625</v>
      </c>
      <c r="E31" s="70"/>
      <c r="F31" s="70"/>
      <c r="G31" s="76">
        <f>EXP($B$19/($B$22*$B$23)*(1-A11)^2)</f>
        <v>1.3432983269271825</v>
      </c>
      <c r="H31" s="70">
        <f t="shared" si="26"/>
        <v>0.29512802759151346</v>
      </c>
      <c r="I31" s="70"/>
      <c r="J31" s="77"/>
      <c r="K31" s="111"/>
      <c r="L31" s="117"/>
      <c r="M31" s="70"/>
      <c r="P31" s="70"/>
      <c r="Q31" s="70"/>
    </row>
    <row r="32" spans="1:57" x14ac:dyDescent="0.2">
      <c r="A32" s="71"/>
      <c r="B32" s="73">
        <f t="shared" si="23"/>
        <v>1.2078983367584455</v>
      </c>
      <c r="C32" s="68">
        <f t="shared" si="24"/>
        <v>0.18888193765856862</v>
      </c>
      <c r="D32" s="74">
        <f t="shared" si="25"/>
        <v>0.5</v>
      </c>
      <c r="E32" s="70"/>
      <c r="F32" s="70"/>
      <c r="G32" s="76">
        <f>EXP($B$19/($B$22*$B$23)*(1-A12)^2)</f>
        <v>1.2078983367584455</v>
      </c>
      <c r="H32" s="70">
        <f t="shared" si="26"/>
        <v>0.18888193765856859</v>
      </c>
      <c r="I32" s="70"/>
      <c r="J32" s="77"/>
      <c r="K32" s="111"/>
      <c r="L32" s="117"/>
      <c r="M32" s="70"/>
      <c r="P32" s="70"/>
      <c r="Q32" s="70"/>
    </row>
    <row r="33" spans="1:17" x14ac:dyDescent="0.2">
      <c r="A33" s="71"/>
      <c r="B33" s="73">
        <f t="shared" si="23"/>
        <v>1.3432983269271825</v>
      </c>
      <c r="C33" s="68">
        <f t="shared" si="24"/>
        <v>0.29512802759151346</v>
      </c>
      <c r="D33" s="74">
        <f t="shared" si="25"/>
        <v>0.375</v>
      </c>
      <c r="E33" s="70"/>
      <c r="F33" s="70"/>
      <c r="G33" s="76">
        <f>EXP($B$19/($B$22*$B$23)*(1-A13)^2)</f>
        <v>1.1120955183464369</v>
      </c>
      <c r="H33" s="70">
        <f t="shared" si="26"/>
        <v>0.10624608993294481</v>
      </c>
      <c r="I33" s="70"/>
      <c r="J33" s="77"/>
      <c r="K33" s="111"/>
      <c r="L33" s="117"/>
      <c r="M33" s="70"/>
      <c r="P33" s="70"/>
      <c r="Q33" s="70"/>
    </row>
    <row r="34" spans="1:17" x14ac:dyDescent="0.2">
      <c r="A34" s="71"/>
      <c r="B34" s="73">
        <f t="shared" si="23"/>
        <v>1.5295664966460292</v>
      </c>
      <c r="C34" s="68">
        <f t="shared" si="24"/>
        <v>0.42498435973177939</v>
      </c>
      <c r="D34" s="74">
        <f t="shared" si="25"/>
        <v>0.25</v>
      </c>
      <c r="E34" s="70"/>
      <c r="F34" s="70"/>
      <c r="G34" s="76">
        <f>EXP($B$19/($B$22*$B$23)*(1-A14)^2)</f>
        <v>1.0483531291255488</v>
      </c>
      <c r="H34" s="70">
        <f t="shared" si="26"/>
        <v>4.7220484414642099E-2</v>
      </c>
      <c r="I34" s="70"/>
      <c r="J34" s="77"/>
      <c r="K34" s="111"/>
      <c r="L34" s="117"/>
      <c r="M34" s="70"/>
      <c r="P34" s="70"/>
      <c r="Q34" s="70"/>
    </row>
    <row r="35" spans="1:17" x14ac:dyDescent="0.2">
      <c r="A35" s="71"/>
      <c r="B35" s="73">
        <f t="shared" si="23"/>
        <v>1.7832738812715669</v>
      </c>
      <c r="C35" s="68">
        <f t="shared" si="24"/>
        <v>0.57845093407936643</v>
      </c>
      <c r="D35" s="74">
        <f t="shared" si="25"/>
        <v>0.125</v>
      </c>
      <c r="E35" s="70"/>
      <c r="F35" s="70"/>
      <c r="G35" s="76">
        <f>EXP($B$19/($B$22*$B$23)*(1-A15)^2)</f>
        <v>1.011875076552291</v>
      </c>
      <c r="H35" s="70">
        <f t="shared" si="26"/>
        <v>1.180512110366062E-2</v>
      </c>
      <c r="I35" s="70"/>
      <c r="J35" s="77"/>
      <c r="K35" s="111"/>
      <c r="L35" s="117"/>
      <c r="M35" s="70"/>
      <c r="P35" s="70"/>
      <c r="Q35" s="70"/>
    </row>
    <row r="36" spans="1:17" x14ac:dyDescent="0.2">
      <c r="A36" s="71"/>
      <c r="B36" s="73">
        <f t="shared" si="23"/>
        <v>2.1287346680303276</v>
      </c>
      <c r="C36" s="68">
        <f t="shared" si="24"/>
        <v>0.75552775063427446</v>
      </c>
      <c r="D36" s="74">
        <f t="shared" si="25"/>
        <v>0</v>
      </c>
      <c r="E36" s="111"/>
      <c r="F36" s="111"/>
      <c r="G36" s="76">
        <f>EXP($B$19/($B$22*$B$23)*(1-A16)^2)</f>
        <v>1</v>
      </c>
      <c r="H36" s="70">
        <f t="shared" si="26"/>
        <v>0</v>
      </c>
      <c r="I36" s="70"/>
      <c r="J36" s="77"/>
      <c r="K36" s="111"/>
      <c r="L36" s="117"/>
      <c r="M36" s="70"/>
      <c r="P36" s="70"/>
      <c r="Q36" s="70"/>
    </row>
    <row r="37" spans="1:17" x14ac:dyDescent="0.2">
      <c r="A37" s="111"/>
      <c r="B37" s="70"/>
      <c r="C37" s="70"/>
      <c r="D37" s="70"/>
      <c r="E37" s="111"/>
      <c r="F37" s="111"/>
      <c r="G37" s="111"/>
      <c r="H37" s="111"/>
      <c r="I37" s="70"/>
      <c r="J37" s="70"/>
      <c r="K37" s="70"/>
      <c r="L37" s="70"/>
      <c r="M37" s="70"/>
      <c r="N37" s="70"/>
      <c r="O37" s="70"/>
      <c r="P37" s="70"/>
      <c r="Q37" s="70"/>
    </row>
    <row r="38" spans="1:17" x14ac:dyDescent="0.2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spans="1:17" x14ac:dyDescent="0.2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</row>
    <row r="40" spans="1:17" x14ac:dyDescent="0.2">
      <c r="A40" s="1" t="s">
        <v>66</v>
      </c>
      <c r="J40" s="66"/>
    </row>
    <row r="41" spans="1:17" x14ac:dyDescent="0.2">
      <c r="J41" s="66"/>
      <c r="K41" s="66"/>
    </row>
    <row r="42" spans="1:17" x14ac:dyDescent="0.2">
      <c r="J42" s="66"/>
      <c r="K42" s="66"/>
    </row>
    <row r="43" spans="1:17" x14ac:dyDescent="0.2">
      <c r="J43" s="66"/>
      <c r="K43" s="66"/>
    </row>
    <row r="44" spans="1:17" x14ac:dyDescent="0.2">
      <c r="F44" s="63" t="s">
        <v>54</v>
      </c>
      <c r="G44" s="94" t="s">
        <v>57</v>
      </c>
      <c r="H44" s="95"/>
      <c r="I44" s="95"/>
      <c r="J44" s="95"/>
      <c r="K44" s="96"/>
    </row>
    <row r="45" spans="1:17" ht="21" customHeight="1" x14ac:dyDescent="0.2">
      <c r="F45" s="63" t="s">
        <v>55</v>
      </c>
      <c r="G45" s="105"/>
      <c r="H45" s="105"/>
      <c r="I45" s="105"/>
      <c r="J45" s="105"/>
      <c r="K45" s="105"/>
    </row>
    <row r="46" spans="1:17" x14ac:dyDescent="0.2">
      <c r="F46" s="63" t="s">
        <v>56</v>
      </c>
      <c r="G46" s="94" t="s">
        <v>79</v>
      </c>
      <c r="H46" s="95"/>
      <c r="I46" s="95"/>
      <c r="J46" s="95"/>
      <c r="K46" s="96"/>
    </row>
    <row r="47" spans="1:17" ht="22" customHeight="1" x14ac:dyDescent="0.2">
      <c r="F47" s="89" t="s">
        <v>83</v>
      </c>
      <c r="G47" s="91"/>
      <c r="H47" s="92"/>
      <c r="I47" s="92"/>
      <c r="J47" s="92"/>
      <c r="K47" s="93"/>
    </row>
    <row r="48" spans="1:17" x14ac:dyDescent="0.2">
      <c r="F48" s="89" t="s">
        <v>80</v>
      </c>
      <c r="G48" s="91">
        <v>0.92456089925413665</v>
      </c>
      <c r="H48" s="92"/>
      <c r="I48" s="92"/>
      <c r="J48" s="92"/>
      <c r="K48" s="93"/>
    </row>
    <row r="49" spans="6:11" x14ac:dyDescent="0.2">
      <c r="F49" s="89" t="s">
        <v>81</v>
      </c>
      <c r="G49" s="91">
        <v>0.91378388486187045</v>
      </c>
      <c r="H49" s="92"/>
      <c r="I49" s="92"/>
      <c r="J49" s="92"/>
      <c r="K49" s="93"/>
    </row>
    <row r="50" spans="6:11" x14ac:dyDescent="0.2">
      <c r="F50" s="89" t="s">
        <v>82</v>
      </c>
      <c r="G50" s="91">
        <v>110.33636958336351</v>
      </c>
      <c r="H50" s="92"/>
      <c r="I50" s="92"/>
      <c r="J50" s="92"/>
      <c r="K50" s="93"/>
    </row>
    <row r="53" spans="6:11" x14ac:dyDescent="0.2">
      <c r="F53" s="88"/>
      <c r="G53" s="88"/>
    </row>
    <row r="72" spans="1:1" x14ac:dyDescent="0.2">
      <c r="A72" s="1" t="s">
        <v>67</v>
      </c>
    </row>
    <row r="104" spans="1:7" x14ac:dyDescent="0.2">
      <c r="A104" s="1" t="s">
        <v>44</v>
      </c>
      <c r="B104" s="68" t="s">
        <v>45</v>
      </c>
      <c r="C104" s="68" t="s">
        <v>46</v>
      </c>
      <c r="D104" s="68" t="s">
        <v>47</v>
      </c>
      <c r="E104" s="68" t="s">
        <v>48</v>
      </c>
      <c r="F104" s="68" t="s">
        <v>49</v>
      </c>
      <c r="G104" s="68" t="s">
        <v>50</v>
      </c>
    </row>
    <row r="105" spans="1:7" x14ac:dyDescent="0.2">
      <c r="B105" s="84">
        <v>0</v>
      </c>
      <c r="C105" s="82">
        <f>160.8+0.3</f>
        <v>161.10000000000002</v>
      </c>
      <c r="D105" s="85">
        <f>I8</f>
        <v>161.10000000000002</v>
      </c>
      <c r="E105" s="86">
        <f>F8</f>
        <v>0</v>
      </c>
      <c r="F105" s="86" cm="1">
        <f t="array" ref="F105:F113">G8:G16</f>
        <v>161.10000000000002</v>
      </c>
      <c r="G105" s="86" cm="1">
        <f t="array" ref="G105:G113">H8:H16</f>
        <v>1</v>
      </c>
    </row>
    <row r="106" spans="1:7" x14ac:dyDescent="0.2">
      <c r="B106" s="84">
        <v>0.125</v>
      </c>
      <c r="C106" s="82">
        <f>160.5+0.3</f>
        <v>160.80000000000001</v>
      </c>
      <c r="D106" s="85">
        <f>I9</f>
        <v>156.83575875812721</v>
      </c>
      <c r="E106" s="86">
        <f t="shared" ref="E106:E113" si="27">F9</f>
        <v>14.199318279624851</v>
      </c>
      <c r="F106" s="86">
        <v>142.63644047850235</v>
      </c>
      <c r="G106" s="86">
        <v>0.90946377030302694</v>
      </c>
    </row>
    <row r="107" spans="1:7" x14ac:dyDescent="0.2">
      <c r="B107" s="84">
        <v>0.25</v>
      </c>
      <c r="C107" s="82">
        <f>165.6+0.3</f>
        <v>165.9</v>
      </c>
      <c r="D107" s="85">
        <f>I10</f>
        <v>151.02561328568248</v>
      </c>
      <c r="E107" s="86">
        <f t="shared" si="27"/>
        <v>24.358346459088011</v>
      </c>
      <c r="F107" s="86">
        <v>126.66726682659446</v>
      </c>
      <c r="G107" s="86">
        <v>0.83871380536617068</v>
      </c>
    </row>
    <row r="108" spans="1:7" x14ac:dyDescent="0.2">
      <c r="B108" s="84">
        <v>0.375</v>
      </c>
      <c r="C108" s="82">
        <f>160.9+0.3</f>
        <v>161.20000000000002</v>
      </c>
      <c r="D108" s="85">
        <f>I11</f>
        <v>144.06215628797997</v>
      </c>
      <c r="E108" s="86">
        <f t="shared" si="27"/>
        <v>32.088038784473071</v>
      </c>
      <c r="F108" s="86">
        <v>111.97411750350689</v>
      </c>
      <c r="G108" s="86">
        <v>0.7772625399252725</v>
      </c>
    </row>
    <row r="109" spans="1:7" x14ac:dyDescent="0.2">
      <c r="B109" s="84">
        <v>0.5</v>
      </c>
      <c r="C109" s="82">
        <f>130.3+0.3</f>
        <v>130.60000000000002</v>
      </c>
      <c r="D109" s="85">
        <f>I12</f>
        <v>135.76777305164927</v>
      </c>
      <c r="E109" s="86">
        <f t="shared" si="27"/>
        <v>38.471562025756484</v>
      </c>
      <c r="F109" s="86">
        <v>97.296211025892802</v>
      </c>
      <c r="G109" s="86">
        <v>0.7166370106761567</v>
      </c>
    </row>
    <row r="110" spans="1:7" x14ac:dyDescent="0.2">
      <c r="B110" s="84">
        <v>0.625</v>
      </c>
      <c r="C110" s="82">
        <f>126.4+0.3</f>
        <v>126.7</v>
      </c>
      <c r="D110" s="85">
        <f>I13</f>
        <v>125.42731299965595</v>
      </c>
      <c r="E110" s="86">
        <f t="shared" si="27"/>
        <v>44.275302824167518</v>
      </c>
      <c r="F110" s="86">
        <v>81.152010175488428</v>
      </c>
      <c r="G110" s="86">
        <v>0.64700429463645637</v>
      </c>
    </row>
    <row r="111" spans="1:7" x14ac:dyDescent="0.2">
      <c r="B111" s="84">
        <v>0.75</v>
      </c>
      <c r="C111" s="82">
        <f>94.4+0.3</f>
        <v>94.7</v>
      </c>
      <c r="D111" s="85">
        <f>I14</f>
        <v>111.68836139639193</v>
      </c>
      <c r="E111" s="86">
        <f t="shared" si="27"/>
        <v>50.085070743973091</v>
      </c>
      <c r="F111" s="86">
        <v>61.603290652418835</v>
      </c>
      <c r="G111" s="86">
        <v>0.55156410105958376</v>
      </c>
    </row>
    <row r="112" spans="1:7" x14ac:dyDescent="0.2">
      <c r="B112" s="84">
        <v>0.875</v>
      </c>
      <c r="C112" s="82">
        <f>86+0.3</f>
        <v>86.3</v>
      </c>
      <c r="D112" s="85">
        <f>I15</f>
        <v>92.310064863439493</v>
      </c>
      <c r="E112" s="86">
        <f t="shared" si="27"/>
        <v>56.399387079333316</v>
      </c>
      <c r="F112" s="86">
        <v>35.910677784106184</v>
      </c>
      <c r="G112" s="86">
        <v>0.38902234374151151</v>
      </c>
    </row>
    <row r="113" spans="1:7" x14ac:dyDescent="0.2">
      <c r="B113" s="84">
        <v>1</v>
      </c>
      <c r="C113" s="82">
        <f>63.4+0.3</f>
        <v>63.699999999999996</v>
      </c>
      <c r="D113" s="85">
        <f>I16</f>
        <v>63.699999999999996</v>
      </c>
      <c r="E113" s="86">
        <f t="shared" si="27"/>
        <v>63.699999999999996</v>
      </c>
      <c r="F113" s="87">
        <v>0</v>
      </c>
      <c r="G113" s="87">
        <v>0</v>
      </c>
    </row>
    <row r="116" spans="1:7" x14ac:dyDescent="0.2">
      <c r="A116" s="1" t="s">
        <v>68</v>
      </c>
    </row>
    <row r="136" spans="1:1" x14ac:dyDescent="0.2">
      <c r="A136" s="1" t="s">
        <v>69</v>
      </c>
    </row>
    <row r="171" spans="3:3" x14ac:dyDescent="0.2">
      <c r="C171" s="1" t="s">
        <v>70</v>
      </c>
    </row>
    <row r="203" spans="3:8" x14ac:dyDescent="0.2">
      <c r="C203" s="1" t="s">
        <v>95</v>
      </c>
      <c r="H203" s="1" t="s">
        <v>98</v>
      </c>
    </row>
    <row r="204" spans="3:8" x14ac:dyDescent="0.2">
      <c r="C204" s="1" t="s">
        <v>96</v>
      </c>
      <c r="H204" s="1" t="s">
        <v>99</v>
      </c>
    </row>
    <row r="205" spans="3:8" x14ac:dyDescent="0.2">
      <c r="C205" s="1" t="s">
        <v>97</v>
      </c>
      <c r="H205" s="1" t="s">
        <v>100</v>
      </c>
    </row>
    <row r="216" spans="2:2" x14ac:dyDescent="0.2">
      <c r="B216" s="1" t="s">
        <v>71</v>
      </c>
    </row>
    <row r="253" spans="1:1" x14ac:dyDescent="0.2">
      <c r="A253" s="1" t="s">
        <v>78</v>
      </c>
    </row>
  </sheetData>
  <mergeCells count="11">
    <mergeCell ref="K6:L6"/>
    <mergeCell ref="D6:E6"/>
    <mergeCell ref="F6:G6"/>
    <mergeCell ref="A6:C6"/>
    <mergeCell ref="G45:K45"/>
    <mergeCell ref="G49:K49"/>
    <mergeCell ref="G46:K46"/>
    <mergeCell ref="G44:K44"/>
    <mergeCell ref="G50:K50"/>
    <mergeCell ref="G47:K47"/>
    <mergeCell ref="G48:K48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p(x) und T(x)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Sascha Berens</cp:lastModifiedBy>
  <dcterms:created xsi:type="dcterms:W3CDTF">2015-07-11T10:12:06Z</dcterms:created>
  <dcterms:modified xsi:type="dcterms:W3CDTF">2025-06-06T08:12:45Z</dcterms:modified>
</cp:coreProperties>
</file>