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ascha0404/Documents/UNI/Chemie/5. Semester/PR Instrumentalanalytisches Praktikum/GC/"/>
    </mc:Choice>
  </mc:AlternateContent>
  <xr:revisionPtr revIDLastSave="0" documentId="13_ncr:1_{D0C1D3E5-499E-A84C-AAD2-BF1851570AAC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Quantitative Analyse_5 Levels" sheetId="2" r:id="rId1"/>
  </sheets>
  <definedNames>
    <definedName name="OLE_LINK1" localSheetId="0">'Quantitative Analyse_5 Levels'!$E$13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11" i="2"/>
  <c r="F12" i="2"/>
  <c r="F13" i="2"/>
  <c r="F14" i="2"/>
  <c r="F5" i="2"/>
  <c r="B14" i="2"/>
  <c r="B13" i="2"/>
  <c r="B12" i="2"/>
  <c r="B11" i="2"/>
  <c r="B10" i="2"/>
  <c r="B9" i="2"/>
  <c r="B8" i="2"/>
  <c r="B7" i="2"/>
  <c r="B6" i="2"/>
  <c r="B5" i="2"/>
  <c r="C6" i="2"/>
  <c r="C7" i="2"/>
  <c r="C8" i="2"/>
  <c r="C9" i="2"/>
  <c r="C10" i="2"/>
  <c r="C11" i="2"/>
  <c r="C12" i="2"/>
  <c r="C13" i="2"/>
  <c r="C14" i="2"/>
  <c r="C5" i="2"/>
</calcChain>
</file>

<file path=xl/sharedStrings.xml><?xml version="1.0" encoding="utf-8"?>
<sst xmlns="http://schemas.openxmlformats.org/spreadsheetml/2006/main" count="77" uniqueCount="55">
  <si>
    <t>Quantitative Analyse</t>
  </si>
  <si>
    <t>Steigung b</t>
  </si>
  <si>
    <t>Ordinatenabschnitt a</t>
  </si>
  <si>
    <t>RGP-Funktion</t>
  </si>
  <si>
    <t>Standard</t>
  </si>
  <si>
    <r>
      <t>A</t>
    </r>
    <r>
      <rPr>
        <b/>
        <vertAlign val="subscript"/>
        <sz val="11"/>
        <color theme="1"/>
        <rFont val="Calibri"/>
        <family val="2"/>
        <scheme val="minor"/>
      </rPr>
      <t>(Cin)</t>
    </r>
    <r>
      <rPr>
        <b/>
        <sz val="11"/>
        <color theme="1"/>
        <rFont val="Calibri"/>
        <family val="2"/>
        <scheme val="minor"/>
      </rPr>
      <t>/A</t>
    </r>
    <r>
      <rPr>
        <b/>
        <vertAlign val="subscript"/>
        <sz val="11"/>
        <color theme="1"/>
        <rFont val="Calibri"/>
        <family val="2"/>
        <scheme val="minor"/>
      </rPr>
      <t>(Pin)</t>
    </r>
  </si>
  <si>
    <t>Standard 1</t>
  </si>
  <si>
    <t>Standard 2</t>
  </si>
  <si>
    <t>Standard 3</t>
  </si>
  <si>
    <t>Standard 4</t>
  </si>
  <si>
    <t>Standard 5</t>
  </si>
  <si>
    <r>
      <t>c</t>
    </r>
    <r>
      <rPr>
        <b/>
        <vertAlign val="subscript"/>
        <sz val="11"/>
        <color theme="1"/>
        <rFont val="Calibri"/>
        <family val="2"/>
        <scheme val="minor"/>
      </rPr>
      <t>(Pinen)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mg/ml</t>
    </r>
  </si>
  <si>
    <t xml:space="preserve">Bestimmtheitsmaß R2 </t>
  </si>
  <si>
    <t>Reststandardabweichung sy</t>
  </si>
  <si>
    <t>Korrelationskoeffizient R</t>
  </si>
  <si>
    <t>Freiheitsgrade f</t>
  </si>
  <si>
    <t xml:space="preserve">Quadratsumme Qxx </t>
  </si>
  <si>
    <t>t-Wert (einseitig)</t>
  </si>
  <si>
    <t>t-Wert (zweiseitig)</t>
  </si>
  <si>
    <t>Nachweisgrenze LOD [mg/mL] auf Messlösung bezogen (Verdünnung!)</t>
  </si>
  <si>
    <t>Bestimmungsgrenze LOQ [mg/mL] auf Messlösung bezogen (Verdünnung!)</t>
  </si>
  <si>
    <t>Erstellung einer Kalibriergerade</t>
  </si>
  <si>
    <t>Darstellung der Kalibriergerade</t>
  </si>
  <si>
    <t>Bestimmung der Probe</t>
  </si>
  <si>
    <t>Probe</t>
  </si>
  <si>
    <t>Anzahl</t>
  </si>
  <si>
    <t>Mittelwert ↑</t>
  </si>
  <si>
    <t>2 farfalla</t>
  </si>
  <si>
    <r>
      <t>c</t>
    </r>
    <r>
      <rPr>
        <b/>
        <vertAlign val="subscript"/>
        <sz val="11"/>
        <color theme="1"/>
        <rFont val="Calibri"/>
        <family val="2"/>
        <scheme val="minor"/>
      </rPr>
      <t>(Cinol)</t>
    </r>
    <r>
      <rPr>
        <b/>
        <sz val="11"/>
        <color theme="1"/>
        <rFont val="Calibri"/>
        <family val="2"/>
        <scheme val="minor"/>
      </rPr>
      <t xml:space="preserve"> / mg/mL</t>
    </r>
  </si>
  <si>
    <r>
      <t xml:space="preserve">Anzahl an Kalibriermessungen </t>
    </r>
    <r>
      <rPr>
        <b/>
        <sz val="11"/>
        <color theme="1"/>
        <rFont val="Calibri"/>
        <family val="2"/>
        <scheme val="minor"/>
      </rPr>
      <t>n</t>
    </r>
  </si>
  <si>
    <r>
      <t xml:space="preserve">Anzahl an Probemessungen </t>
    </r>
    <r>
      <rPr>
        <b/>
        <sz val="11"/>
        <color theme="1"/>
        <rFont val="Calibri"/>
        <family val="2"/>
        <scheme val="minor"/>
      </rPr>
      <t>m</t>
    </r>
  </si>
  <si>
    <t>Analysenergebnis</t>
  </si>
  <si>
    <t>mg/mL</t>
  </si>
  <si>
    <t>g/mL</t>
  </si>
  <si>
    <t>auf das Öl bezogen</t>
  </si>
  <si>
    <t>Probe 2 farfalla</t>
  </si>
  <si>
    <r>
      <t xml:space="preserve">Streuung Analysenergebnis  </t>
    </r>
    <r>
      <rPr>
        <b/>
        <sz val="11"/>
        <color theme="1"/>
        <rFont val="Calibri"/>
        <family val="2"/>
        <scheme val="minor"/>
      </rPr>
      <t>s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auf Messlösung bezogen (Verdünnung!)</t>
    </r>
  </si>
  <si>
    <r>
      <t xml:space="preserve">Streuung Analysenergebnis  </t>
    </r>
    <r>
      <rPr>
        <b/>
        <sz val="11"/>
        <color theme="1"/>
        <rFont val="Calibri"/>
        <family val="2"/>
        <scheme val="minor"/>
      </rPr>
      <t>s</t>
    </r>
    <r>
      <rPr>
        <b/>
        <vertAlign val="subscript"/>
        <sz val="11"/>
        <color theme="1"/>
        <rFont val="Calibri"/>
        <family val="2"/>
        <scheme val="minor"/>
      </rPr>
      <t xml:space="preserve">x </t>
    </r>
    <r>
      <rPr>
        <sz val="11"/>
        <color theme="1"/>
        <rFont val="Calibri"/>
        <family val="2"/>
        <scheme val="minor"/>
      </rPr>
      <t>auf das Öl bezogen (ohne Verdünnung!)</t>
    </r>
  </si>
  <si>
    <t>Mittelwert Probensignal</t>
  </si>
  <si>
    <t xml:space="preserve">Mittelwert Kalibriersignal </t>
  </si>
  <si>
    <t xml:space="preserve">auf Messlösung bezogen </t>
  </si>
  <si>
    <r>
      <rPr>
        <sz val="11"/>
        <rFont val="Calibri"/>
        <family val="2"/>
        <scheme val="minor"/>
      </rPr>
      <t>± T</t>
    </r>
    <r>
      <rPr>
        <b/>
        <vertAlign val="subscript"/>
        <sz val="11"/>
        <rFont val="Calibri"/>
        <family val="2"/>
        <scheme val="minor"/>
      </rPr>
      <t>x</t>
    </r>
  </si>
  <si>
    <r>
      <t>± T</t>
    </r>
    <r>
      <rPr>
        <b/>
        <vertAlign val="subscript"/>
        <sz val="11"/>
        <rFont val="Calibri"/>
        <family val="2"/>
        <scheme val="minor"/>
      </rPr>
      <t>x</t>
    </r>
  </si>
  <si>
    <t>Nachweisgrenze LOD [g/mL] auf das Öl bezogen (ohne Verdünnung!)</t>
  </si>
  <si>
    <t>Bestimmungsgrenze LOQ [g/mL] auf das Öl bezogen (ohne Verdünnung!)</t>
  </si>
  <si>
    <r>
      <t>A</t>
    </r>
    <r>
      <rPr>
        <b/>
        <vertAlign val="subscript"/>
        <sz val="11"/>
        <color theme="1"/>
        <rFont val="Calibri"/>
        <family val="2"/>
        <scheme val="minor"/>
      </rPr>
      <t>(Pinen)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</si>
  <si>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(Cineol)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</si>
  <si>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(Cineol)</t>
    </r>
    <r>
      <rPr>
        <b/>
        <sz val="11"/>
        <color theme="1"/>
        <rFont val="Calibri"/>
        <family val="2"/>
        <scheme val="minor"/>
      </rPr>
      <t xml:space="preserve"> 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</si>
  <si>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(Pinen)</t>
    </r>
    <r>
      <rPr>
        <b/>
        <sz val="11"/>
        <color theme="1"/>
        <rFont val="Calibri"/>
        <family val="2"/>
        <scheme val="minor"/>
      </rPr>
      <t/>
    </r>
  </si>
  <si>
    <t>Anzahl Kalibriermessung n</t>
  </si>
  <si>
    <t>Anzahl Probemessung m</t>
  </si>
  <si>
    <t>1 aromance</t>
  </si>
  <si>
    <t>Probe 1 aromance</t>
  </si>
  <si>
    <r>
      <t>c</t>
    </r>
    <r>
      <rPr>
        <b/>
        <vertAlign val="subscript"/>
        <sz val="11"/>
        <color theme="1"/>
        <rFont val="Calibri"/>
        <family val="2"/>
        <scheme val="minor"/>
      </rPr>
      <t>(Cineol)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mg/ml</t>
    </r>
  </si>
  <si>
    <t xml:space="preserve">Bestimmung der Probenkonzentration mit Vertrauensbereich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</si>
</sst>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00"/>
    <numFmt numFmtId="167" formatCode="0.000000"/>
    <numFmt numFmtId="168" formatCode="0.00000000"/>
    <numFmt numFmtId="169" formatCode="0.00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3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"/>
      <color rgb="FF0000FF"/>
      <name val="Calibri"/>
      <family val="2"/>
      <scheme val="minor"/>
    </font>
    <font>
      <b/>
      <vertAlign val="subscript"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164" fontId="0" fillId="5" borderId="2" xfId="0" applyNumberFormat="1" applyFill="1" applyBorder="1"/>
    <xf numFmtId="165" fontId="0" fillId="5" borderId="2" xfId="0" applyNumberFormat="1" applyFill="1" applyBorder="1"/>
    <xf numFmtId="0" fontId="4" fillId="0" borderId="8" xfId="0" applyFont="1" applyBorder="1"/>
    <xf numFmtId="0" fontId="4" fillId="0" borderId="9" xfId="0" applyFont="1" applyBorder="1"/>
    <xf numFmtId="0" fontId="4" fillId="0" borderId="3" xfId="0" applyFont="1" applyBorder="1"/>
    <xf numFmtId="0" fontId="4" fillId="0" borderId="1" xfId="0" applyFont="1" applyBorder="1"/>
    <xf numFmtId="0" fontId="4" fillId="3" borderId="7" xfId="0" applyFont="1" applyFill="1" applyBorder="1"/>
    <xf numFmtId="0" fontId="4" fillId="3" borderId="6" xfId="0" applyFont="1" applyFill="1" applyBorder="1"/>
    <xf numFmtId="0" fontId="1" fillId="3" borderId="2" xfId="0" applyFont="1" applyFill="1" applyBorder="1"/>
    <xf numFmtId="164" fontId="0" fillId="2" borderId="2" xfId="0" applyNumberFormat="1" applyFill="1" applyBorder="1"/>
    <xf numFmtId="166" fontId="0" fillId="5" borderId="2" xfId="0" applyNumberFormat="1" applyFill="1" applyBorder="1"/>
    <xf numFmtId="167" fontId="0" fillId="5" borderId="2" xfId="0" applyNumberFormat="1" applyFill="1" applyBorder="1"/>
    <xf numFmtId="0" fontId="4" fillId="0" borderId="0" xfId="0" applyFont="1"/>
    <xf numFmtId="168" fontId="0" fillId="5" borderId="2" xfId="0" applyNumberFormat="1" applyFill="1" applyBorder="1"/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6" fontId="8" fillId="8" borderId="2" xfId="0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0" fillId="6" borderId="2" xfId="0" applyFill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6" borderId="2" xfId="0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164" fontId="0" fillId="5" borderId="2" xfId="0" applyNumberFormat="1" applyFill="1" applyBorder="1" applyAlignment="1">
      <alignment horizontal="right" vertical="center"/>
    </xf>
    <xf numFmtId="3" fontId="0" fillId="4" borderId="2" xfId="0" applyNumberFormat="1" applyFill="1" applyBorder="1"/>
    <xf numFmtId="169" fontId="0" fillId="5" borderId="2" xfId="0" applyNumberFormat="1" applyFill="1" applyBorder="1"/>
    <xf numFmtId="0" fontId="0" fillId="3" borderId="10" xfId="0" applyFill="1" applyBorder="1"/>
    <xf numFmtId="0" fontId="0" fillId="5" borderId="10" xfId="0" applyFill="1" applyBorder="1"/>
    <xf numFmtId="1" fontId="0" fillId="5" borderId="10" xfId="0" applyNumberFormat="1" applyFill="1" applyBorder="1"/>
    <xf numFmtId="0" fontId="1" fillId="6" borderId="4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169" fontId="0" fillId="5" borderId="10" xfId="0" applyNumberFormat="1" applyFill="1" applyBorder="1" applyAlignment="1">
      <alignment horizontal="right" vertical="center"/>
    </xf>
    <xf numFmtId="169" fontId="0" fillId="5" borderId="5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12" xfId="0" applyFill="1" applyBorder="1" applyAlignment="1">
      <alignment vertical="center" wrapText="1"/>
    </xf>
    <xf numFmtId="0" fontId="0" fillId="7" borderId="9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right"/>
    </xf>
    <xf numFmtId="164" fontId="0" fillId="5" borderId="5" xfId="0" applyNumberFormat="1" applyFill="1" applyBorder="1" applyAlignment="1">
      <alignment horizontal="right"/>
    </xf>
    <xf numFmtId="0" fontId="0" fillId="3" borderId="10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165" fontId="0" fillId="5" borderId="10" xfId="0" applyNumberFormat="1" applyFill="1" applyBorder="1" applyAlignment="1">
      <alignment horizontal="right" vertical="center"/>
    </xf>
    <xf numFmtId="165" fontId="0" fillId="5" borderId="5" xfId="0" applyNumberFormat="1" applyFill="1" applyBorder="1" applyAlignment="1">
      <alignment horizontal="right" vertical="center"/>
    </xf>
    <xf numFmtId="0" fontId="0" fillId="4" borderId="2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1514475</xdr:colOff>
      <xdr:row>48</xdr:row>
      <xdr:rowOff>19050</xdr:rowOff>
    </xdr:from>
    <xdr:to>
      <xdr:col>0</xdr:col>
      <xdr:colOff>1685925</xdr:colOff>
      <xdr:row>49</xdr:row>
      <xdr:rowOff>19050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90487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1571625</xdr:colOff>
      <xdr:row>48</xdr:row>
      <xdr:rowOff>9525</xdr:rowOff>
    </xdr:from>
    <xdr:to>
      <xdr:col>2</xdr:col>
      <xdr:colOff>1647825</xdr:colOff>
      <xdr:row>49</xdr:row>
      <xdr:rowOff>9525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9039225"/>
          <a:ext cx="762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1514475</xdr:colOff>
      <xdr:row>53</xdr:row>
      <xdr:rowOff>19050</xdr:rowOff>
    </xdr:from>
    <xdr:to>
      <xdr:col>0</xdr:col>
      <xdr:colOff>1685925</xdr:colOff>
      <xdr:row>54</xdr:row>
      <xdr:rowOff>19050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90487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1571625</xdr:colOff>
      <xdr:row>53</xdr:row>
      <xdr:rowOff>9525</xdr:rowOff>
    </xdr:from>
    <xdr:to>
      <xdr:col>2</xdr:col>
      <xdr:colOff>1647825</xdr:colOff>
      <xdr:row>54</xdr:row>
      <xdr:rowOff>9525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9039225"/>
          <a:ext cx="762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tabSelected="1" zoomScale="171" zoomScaleNormal="145" workbookViewId="0">
      <selection activeCell="C11" sqref="C11"/>
    </sheetView>
  </sheetViews>
  <sheetFormatPr baseColWidth="10" defaultRowHeight="15"/>
  <cols>
    <col min="1" max="1" width="32.83203125" customWidth="1"/>
    <col min="2" max="2" width="18.1640625" bestFit="1" customWidth="1"/>
    <col min="3" max="3" width="34.83203125" customWidth="1"/>
    <col min="4" max="4" width="19.5" customWidth="1"/>
    <col min="5" max="5" width="15.33203125" customWidth="1"/>
    <col min="6" max="6" width="14.83203125" bestFit="1" customWidth="1"/>
    <col min="7" max="7" width="16.5" bestFit="1" customWidth="1"/>
  </cols>
  <sheetData>
    <row r="1" spans="1:6" ht="16">
      <c r="A1" s="2" t="s">
        <v>0</v>
      </c>
    </row>
    <row r="2" spans="1:6" ht="16">
      <c r="A2" s="2"/>
    </row>
    <row r="3" spans="1:6">
      <c r="A3" s="1" t="s">
        <v>21</v>
      </c>
    </row>
    <row r="4" spans="1:6" ht="17">
      <c r="A4" s="15" t="s">
        <v>4</v>
      </c>
      <c r="B4" s="15" t="s">
        <v>53</v>
      </c>
      <c r="C4" s="15" t="s">
        <v>11</v>
      </c>
      <c r="D4" s="15" t="s">
        <v>46</v>
      </c>
      <c r="E4" s="15" t="s">
        <v>45</v>
      </c>
      <c r="F4" s="15" t="s">
        <v>5</v>
      </c>
    </row>
    <row r="5" spans="1:6">
      <c r="A5" s="3" t="s">
        <v>6</v>
      </c>
      <c r="B5" s="3">
        <f>20*9.1179*0.99/1000</f>
        <v>0.18053442</v>
      </c>
      <c r="C5" s="16">
        <f>(80*0.99*0.859)/100</f>
        <v>0.68032799999999993</v>
      </c>
      <c r="D5" s="57">
        <v>126548</v>
      </c>
      <c r="E5" s="57">
        <v>508820</v>
      </c>
      <c r="F5" s="7">
        <f>D5/E5</f>
        <v>0.24870877717070869</v>
      </c>
    </row>
    <row r="6" spans="1:6">
      <c r="A6" s="3" t="s">
        <v>6</v>
      </c>
      <c r="B6" s="3">
        <f>20*9.1179*0.99/1000</f>
        <v>0.18053442</v>
      </c>
      <c r="C6" s="16">
        <f t="shared" ref="C6:C14" si="0">(80*0.99*0.859)/100</f>
        <v>0.68032799999999993</v>
      </c>
      <c r="D6" s="57">
        <v>109321</v>
      </c>
      <c r="E6" s="57">
        <v>436442</v>
      </c>
      <c r="F6" s="7">
        <f t="shared" ref="F6:F14" si="1">D6/E6</f>
        <v>0.25048230921863618</v>
      </c>
    </row>
    <row r="7" spans="1:6">
      <c r="A7" s="3" t="s">
        <v>7</v>
      </c>
      <c r="B7" s="3">
        <f>40*9.1179*0.99/1000</f>
        <v>0.36106884</v>
      </c>
      <c r="C7" s="16">
        <f t="shared" si="0"/>
        <v>0.68032799999999993</v>
      </c>
      <c r="D7" s="57">
        <v>241899</v>
      </c>
      <c r="E7" s="57">
        <v>482507</v>
      </c>
      <c r="F7" s="7">
        <f t="shared" si="1"/>
        <v>0.50133780442563525</v>
      </c>
    </row>
    <row r="8" spans="1:6">
      <c r="A8" s="3" t="s">
        <v>7</v>
      </c>
      <c r="B8" s="3">
        <f>40*9.1179*0.99/1000</f>
        <v>0.36106884</v>
      </c>
      <c r="C8" s="16">
        <f t="shared" si="0"/>
        <v>0.68032799999999993</v>
      </c>
      <c r="D8" s="57">
        <v>253057</v>
      </c>
      <c r="E8" s="57">
        <v>503975</v>
      </c>
      <c r="F8" s="7">
        <f t="shared" si="1"/>
        <v>0.50212212907386278</v>
      </c>
    </row>
    <row r="9" spans="1:6">
      <c r="A9" s="3" t="s">
        <v>8</v>
      </c>
      <c r="B9" s="3">
        <f>60*9.1179*0.99/1000</f>
        <v>0.54160326000000014</v>
      </c>
      <c r="C9" s="16">
        <f t="shared" si="0"/>
        <v>0.68032799999999993</v>
      </c>
      <c r="D9" s="57">
        <v>351922</v>
      </c>
      <c r="E9" s="57">
        <v>463426</v>
      </c>
      <c r="F9" s="7">
        <f t="shared" si="1"/>
        <v>0.7593920064907882</v>
      </c>
    </row>
    <row r="10" spans="1:6">
      <c r="A10" s="3" t="s">
        <v>8</v>
      </c>
      <c r="B10" s="3">
        <f>60*9.1179*0.99/1000</f>
        <v>0.54160326000000014</v>
      </c>
      <c r="C10" s="16">
        <f t="shared" si="0"/>
        <v>0.68032799999999993</v>
      </c>
      <c r="D10" s="57">
        <v>364770</v>
      </c>
      <c r="E10" s="57">
        <v>481059</v>
      </c>
      <c r="F10" s="7">
        <f t="shared" si="1"/>
        <v>0.75826457877308184</v>
      </c>
    </row>
    <row r="11" spans="1:6">
      <c r="A11" s="3" t="s">
        <v>9</v>
      </c>
      <c r="B11" s="3">
        <f>80*9.1179*0.99/1000</f>
        <v>0.72213768</v>
      </c>
      <c r="C11" s="16">
        <f t="shared" si="0"/>
        <v>0.68032799999999993</v>
      </c>
      <c r="D11" s="57">
        <v>484035</v>
      </c>
      <c r="E11" s="57">
        <v>471648</v>
      </c>
      <c r="F11" s="7">
        <f t="shared" si="1"/>
        <v>1.026263230205577</v>
      </c>
    </row>
    <row r="12" spans="1:6">
      <c r="A12" s="3" t="s">
        <v>9</v>
      </c>
      <c r="B12" s="3">
        <f>80*9.1179*0.99/1000</f>
        <v>0.72213768</v>
      </c>
      <c r="C12" s="16">
        <f t="shared" si="0"/>
        <v>0.68032799999999993</v>
      </c>
      <c r="D12" s="57">
        <v>520875</v>
      </c>
      <c r="E12" s="57">
        <v>504312</v>
      </c>
      <c r="F12" s="7">
        <f t="shared" si="1"/>
        <v>1.032842764003236</v>
      </c>
    </row>
    <row r="13" spans="1:6">
      <c r="A13" s="3" t="s">
        <v>10</v>
      </c>
      <c r="B13" s="3">
        <f>100*9.1179*0.99/1000</f>
        <v>0.90267210000000009</v>
      </c>
      <c r="C13" s="16">
        <f t="shared" si="0"/>
        <v>0.68032799999999993</v>
      </c>
      <c r="D13" s="57">
        <v>615359</v>
      </c>
      <c r="E13" s="57">
        <v>477869</v>
      </c>
      <c r="F13" s="7">
        <f t="shared" si="1"/>
        <v>1.2877148339816979</v>
      </c>
    </row>
    <row r="14" spans="1:6">
      <c r="A14" s="3" t="s">
        <v>10</v>
      </c>
      <c r="B14" s="3">
        <f>100*9.1179*0.99/1000</f>
        <v>0.90267210000000009</v>
      </c>
      <c r="C14" s="16">
        <f t="shared" si="0"/>
        <v>0.68032799999999993</v>
      </c>
      <c r="D14" s="57">
        <v>671442</v>
      </c>
      <c r="E14" s="57">
        <v>524909</v>
      </c>
      <c r="F14" s="7">
        <f t="shared" si="1"/>
        <v>1.2791588637268556</v>
      </c>
    </row>
    <row r="16" spans="1:6" ht="16" thickBot="1"/>
    <row r="17" spans="1:8">
      <c r="A17" s="1" t="s">
        <v>22</v>
      </c>
      <c r="G17" s="13" t="s">
        <v>3</v>
      </c>
      <c r="H17" s="14"/>
    </row>
    <row r="18" spans="1:8" ht="15" customHeight="1">
      <c r="A18" s="4" t="s">
        <v>1</v>
      </c>
      <c r="B18" s="18"/>
      <c r="C18" s="4" t="s">
        <v>2</v>
      </c>
      <c r="D18" s="20"/>
      <c r="G18" s="9"/>
      <c r="H18" s="10"/>
    </row>
    <row r="19" spans="1:8">
      <c r="A19" s="4" t="s">
        <v>12</v>
      </c>
      <c r="B19" s="8"/>
      <c r="C19" s="4" t="s">
        <v>13</v>
      </c>
      <c r="D19" s="35"/>
      <c r="G19" s="9"/>
      <c r="H19" s="10"/>
    </row>
    <row r="20" spans="1:8">
      <c r="A20" s="4" t="s">
        <v>14</v>
      </c>
      <c r="B20" s="8"/>
      <c r="C20" s="4" t="s">
        <v>15</v>
      </c>
      <c r="D20" s="6"/>
      <c r="G20" s="9"/>
      <c r="H20" s="10"/>
    </row>
    <row r="21" spans="1:8" ht="16" thickBot="1">
      <c r="A21" s="4" t="s">
        <v>17</v>
      </c>
      <c r="B21" s="7"/>
      <c r="C21" s="4" t="s">
        <v>18</v>
      </c>
      <c r="D21" s="7"/>
      <c r="G21" s="11"/>
      <c r="H21" s="12"/>
    </row>
    <row r="22" spans="1:8">
      <c r="A22" s="4" t="s">
        <v>16</v>
      </c>
      <c r="B22" s="17"/>
      <c r="C22" s="4"/>
      <c r="D22" s="6"/>
      <c r="G22" s="19"/>
      <c r="H22" s="19"/>
    </row>
    <row r="23" spans="1:8">
      <c r="A23" s="36" t="s">
        <v>49</v>
      </c>
      <c r="B23" s="38"/>
      <c r="C23" s="36" t="s">
        <v>50</v>
      </c>
      <c r="D23" s="37"/>
      <c r="G23" s="19"/>
      <c r="H23" s="19"/>
    </row>
    <row r="24" spans="1:8" ht="15" customHeight="1">
      <c r="A24" s="53" t="s">
        <v>19</v>
      </c>
      <c r="B24" s="41"/>
      <c r="C24" s="53" t="s">
        <v>20</v>
      </c>
      <c r="D24" s="41"/>
      <c r="G24" s="19"/>
      <c r="H24" s="19"/>
    </row>
    <row r="25" spans="1:8">
      <c r="A25" s="54"/>
      <c r="B25" s="42"/>
      <c r="C25" s="54"/>
      <c r="D25" s="42"/>
      <c r="G25" s="19"/>
      <c r="H25" s="19"/>
    </row>
    <row r="26" spans="1:8">
      <c r="A26" s="53" t="s">
        <v>43</v>
      </c>
      <c r="B26" s="55"/>
      <c r="C26" s="53" t="s">
        <v>44</v>
      </c>
      <c r="D26" s="51"/>
      <c r="G26" s="19"/>
      <c r="H26" s="19"/>
    </row>
    <row r="27" spans="1:8">
      <c r="A27" s="54"/>
      <c r="B27" s="56"/>
      <c r="C27" s="54"/>
      <c r="D27" s="52"/>
      <c r="G27" s="19"/>
      <c r="H27" s="19"/>
    </row>
    <row r="28" spans="1:8">
      <c r="G28" s="19"/>
      <c r="H28" s="19"/>
    </row>
    <row r="29" spans="1:8">
      <c r="G29" s="19"/>
      <c r="H29" s="19"/>
    </row>
    <row r="30" spans="1:8">
      <c r="A30" s="1" t="s">
        <v>23</v>
      </c>
      <c r="G30" s="19"/>
      <c r="H30" s="19"/>
    </row>
    <row r="31" spans="1:8" ht="17">
      <c r="A31" s="15" t="s">
        <v>24</v>
      </c>
      <c r="B31" s="15" t="s">
        <v>25</v>
      </c>
      <c r="C31" s="15" t="s">
        <v>47</v>
      </c>
      <c r="D31" s="15" t="s">
        <v>48</v>
      </c>
      <c r="E31" s="15" t="s">
        <v>5</v>
      </c>
      <c r="F31" s="15" t="s">
        <v>28</v>
      </c>
      <c r="G31" s="19"/>
    </row>
    <row r="32" spans="1:8">
      <c r="A32" s="50" t="s">
        <v>51</v>
      </c>
      <c r="B32" s="4">
        <v>1</v>
      </c>
      <c r="C32" s="34"/>
      <c r="D32" s="34"/>
      <c r="E32" s="17"/>
      <c r="F32" s="17"/>
      <c r="G32" s="19"/>
    </row>
    <row r="33" spans="1:8">
      <c r="A33" s="50"/>
      <c r="B33" s="4">
        <v>2</v>
      </c>
      <c r="C33" s="34"/>
      <c r="D33" s="34"/>
      <c r="E33" s="17"/>
      <c r="F33" s="17"/>
      <c r="G33" s="19"/>
    </row>
    <row r="34" spans="1:8">
      <c r="A34" s="50"/>
      <c r="B34" s="4">
        <v>3</v>
      </c>
      <c r="C34" s="34"/>
      <c r="D34" s="34"/>
      <c r="E34" s="17"/>
      <c r="F34" s="17"/>
      <c r="G34" s="19"/>
    </row>
    <row r="35" spans="1:8">
      <c r="A35" s="50"/>
      <c r="B35" s="4"/>
      <c r="C35" s="21"/>
      <c r="D35" s="21"/>
      <c r="E35" s="21"/>
      <c r="F35" s="24"/>
      <c r="G35" s="19"/>
    </row>
    <row r="36" spans="1:8" ht="17" thickBot="1">
      <c r="A36" s="50"/>
      <c r="B36" s="4"/>
      <c r="C36" s="22"/>
      <c r="D36" s="22"/>
      <c r="E36" s="22"/>
      <c r="F36" s="23" t="s">
        <v>26</v>
      </c>
      <c r="G36" s="19"/>
    </row>
    <row r="37" spans="1:8">
      <c r="A37" s="46"/>
      <c r="B37" s="47"/>
      <c r="C37" s="48"/>
      <c r="D37" s="48"/>
      <c r="E37" s="48"/>
      <c r="F37" s="49"/>
      <c r="G37" s="19"/>
    </row>
    <row r="38" spans="1:8">
      <c r="A38" s="50" t="s">
        <v>27</v>
      </c>
      <c r="B38" s="4">
        <v>1</v>
      </c>
      <c r="C38" s="34"/>
      <c r="D38" s="34"/>
      <c r="E38" s="17"/>
      <c r="F38" s="17"/>
      <c r="G38" s="19"/>
    </row>
    <row r="39" spans="1:8">
      <c r="A39" s="50"/>
      <c r="B39" s="4">
        <v>2</v>
      </c>
      <c r="C39" s="34"/>
      <c r="D39" s="34"/>
      <c r="E39" s="17"/>
      <c r="F39" s="17"/>
      <c r="G39" s="19"/>
    </row>
    <row r="40" spans="1:8">
      <c r="A40" s="50"/>
      <c r="B40" s="4">
        <v>3</v>
      </c>
      <c r="C40" s="34"/>
      <c r="D40" s="34"/>
      <c r="E40" s="17"/>
      <c r="F40" s="17"/>
      <c r="G40" s="19"/>
    </row>
    <row r="41" spans="1:8">
      <c r="A41" s="50"/>
      <c r="B41" s="4"/>
      <c r="C41" s="21"/>
      <c r="D41" s="21"/>
      <c r="E41" s="21"/>
      <c r="F41" s="24"/>
      <c r="G41" s="19"/>
    </row>
    <row r="42" spans="1:8" ht="17" thickBot="1">
      <c r="A42" s="50"/>
      <c r="B42" s="4"/>
      <c r="C42" s="22"/>
      <c r="D42" s="22"/>
      <c r="E42" s="22"/>
      <c r="F42" s="23" t="s">
        <v>26</v>
      </c>
      <c r="G42" s="19"/>
      <c r="H42" s="19"/>
    </row>
    <row r="43" spans="1:8">
      <c r="G43" s="19"/>
      <c r="H43" s="19"/>
    </row>
    <row r="44" spans="1:8">
      <c r="G44" s="19"/>
      <c r="H44" s="19"/>
    </row>
    <row r="45" spans="1:8" ht="18" customHeight="1">
      <c r="A45" s="1" t="s">
        <v>54</v>
      </c>
      <c r="B45" s="1"/>
      <c r="C45" s="1"/>
      <c r="D45" s="1"/>
      <c r="H45" s="19"/>
    </row>
    <row r="46" spans="1:8" ht="16">
      <c r="A46" s="4" t="s">
        <v>29</v>
      </c>
      <c r="B46" s="5"/>
      <c r="C46" s="26" t="s">
        <v>30</v>
      </c>
      <c r="D46" s="5"/>
      <c r="H46" s="19"/>
    </row>
    <row r="47" spans="1:8" ht="7.5" customHeight="1">
      <c r="C47" s="29"/>
      <c r="H47" s="19"/>
    </row>
    <row r="48" spans="1:8">
      <c r="A48" s="44" t="s">
        <v>52</v>
      </c>
      <c r="B48" s="44"/>
      <c r="C48" s="44"/>
      <c r="D48" s="44"/>
      <c r="H48" s="19"/>
    </row>
    <row r="49" spans="1:8" ht="16">
      <c r="A49" s="31" t="s">
        <v>38</v>
      </c>
      <c r="B49" s="18"/>
      <c r="C49" s="31" t="s">
        <v>39</v>
      </c>
      <c r="D49" s="18"/>
      <c r="H49" s="19"/>
    </row>
    <row r="50" spans="1:8">
      <c r="A50" s="43" t="s">
        <v>36</v>
      </c>
      <c r="B50" s="41"/>
      <c r="C50" s="43" t="s">
        <v>37</v>
      </c>
      <c r="D50" s="41"/>
      <c r="H50" s="19"/>
    </row>
    <row r="51" spans="1:8">
      <c r="A51" s="43"/>
      <c r="B51" s="42"/>
      <c r="C51" s="43"/>
      <c r="D51" s="42"/>
      <c r="H51" s="19"/>
    </row>
    <row r="52" spans="1:8" ht="6" customHeight="1">
      <c r="A52" s="45"/>
      <c r="B52" s="45"/>
      <c r="C52" s="45"/>
      <c r="D52" s="45"/>
      <c r="H52" s="19"/>
    </row>
    <row r="53" spans="1:8">
      <c r="A53" s="44" t="s">
        <v>35</v>
      </c>
      <c r="B53" s="44"/>
      <c r="C53" s="44"/>
      <c r="D53" s="44"/>
      <c r="H53" s="19"/>
    </row>
    <row r="54" spans="1:8" ht="16">
      <c r="A54" s="31" t="s">
        <v>38</v>
      </c>
      <c r="B54" s="18"/>
      <c r="C54" s="31" t="s">
        <v>39</v>
      </c>
      <c r="D54" s="18"/>
      <c r="H54" s="19"/>
    </row>
    <row r="55" spans="1:8" ht="15" customHeight="1">
      <c r="A55" s="43" t="s">
        <v>36</v>
      </c>
      <c r="B55" s="41"/>
      <c r="C55" s="43" t="s">
        <v>37</v>
      </c>
      <c r="D55" s="41"/>
      <c r="H55" s="19"/>
    </row>
    <row r="56" spans="1:8" s="27" customFormat="1" ht="15.75" customHeight="1">
      <c r="A56" s="43"/>
      <c r="B56" s="42"/>
      <c r="C56" s="43"/>
      <c r="D56" s="42"/>
      <c r="H56" s="28"/>
    </row>
    <row r="57" spans="1:8" s="27" customFormat="1">
      <c r="A57" s="30"/>
      <c r="B57" s="21"/>
      <c r="C57" s="29"/>
      <c r="D57" s="21"/>
      <c r="H57" s="28"/>
    </row>
    <row r="58" spans="1:8" s="27" customFormat="1">
      <c r="A58" s="30"/>
      <c r="B58" s="21"/>
      <c r="C58" s="30"/>
      <c r="D58" s="21"/>
      <c r="H58" s="28"/>
    </row>
    <row r="59" spans="1:8">
      <c r="A59" s="39" t="s">
        <v>52</v>
      </c>
      <c r="B59" s="40"/>
      <c r="C59" s="40"/>
      <c r="D59" s="40"/>
      <c r="E59" s="40"/>
      <c r="F59" s="40"/>
      <c r="G59" s="19"/>
    </row>
    <row r="60" spans="1:8" ht="18">
      <c r="A60" s="31" t="s">
        <v>31</v>
      </c>
      <c r="B60" s="31" t="s">
        <v>32</v>
      </c>
      <c r="C60" s="32" t="s">
        <v>41</v>
      </c>
      <c r="D60" s="31" t="s">
        <v>31</v>
      </c>
      <c r="E60" s="31" t="s">
        <v>33</v>
      </c>
      <c r="F60" s="32" t="s">
        <v>42</v>
      </c>
    </row>
    <row r="61" spans="1:8" ht="16">
      <c r="A61" s="31" t="s">
        <v>40</v>
      </c>
      <c r="B61" s="33"/>
      <c r="C61" s="33"/>
      <c r="D61" s="31" t="s">
        <v>34</v>
      </c>
      <c r="E61" s="33"/>
      <c r="F61" s="33"/>
    </row>
    <row r="62" spans="1:8">
      <c r="A62" s="25"/>
      <c r="G62" s="19"/>
    </row>
    <row r="63" spans="1:8" ht="15.75" customHeight="1">
      <c r="A63" s="39" t="s">
        <v>35</v>
      </c>
      <c r="B63" s="40"/>
      <c r="C63" s="40"/>
      <c r="D63" s="40"/>
      <c r="E63" s="40"/>
      <c r="F63" s="40"/>
      <c r="G63" s="19"/>
    </row>
    <row r="64" spans="1:8" ht="18">
      <c r="A64" s="31" t="s">
        <v>31</v>
      </c>
      <c r="B64" s="31" t="s">
        <v>32</v>
      </c>
      <c r="C64" s="32" t="s">
        <v>42</v>
      </c>
      <c r="D64" s="31" t="s">
        <v>31</v>
      </c>
      <c r="E64" s="31" t="s">
        <v>33</v>
      </c>
      <c r="F64" s="32" t="s">
        <v>42</v>
      </c>
      <c r="G64" s="19"/>
    </row>
    <row r="65" spans="1:6" ht="16">
      <c r="A65" s="31" t="s">
        <v>40</v>
      </c>
      <c r="B65" s="33"/>
      <c r="C65" s="33"/>
      <c r="D65" s="31" t="s">
        <v>34</v>
      </c>
      <c r="E65" s="33"/>
      <c r="F65" s="33"/>
    </row>
    <row r="66" spans="1:6">
      <c r="A66" s="25"/>
    </row>
    <row r="67" spans="1:6" ht="15.75" customHeight="1"/>
    <row r="72" spans="1:6" ht="15.75" customHeight="1"/>
  </sheetData>
  <mergeCells count="24">
    <mergeCell ref="A37:F37"/>
    <mergeCell ref="A38:A42"/>
    <mergeCell ref="D26:D27"/>
    <mergeCell ref="A32:A36"/>
    <mergeCell ref="A24:A25"/>
    <mergeCell ref="B24:B25"/>
    <mergeCell ref="A26:A27"/>
    <mergeCell ref="C24:C25"/>
    <mergeCell ref="C26:C27"/>
    <mergeCell ref="B26:B27"/>
    <mergeCell ref="D24:D25"/>
    <mergeCell ref="A48:D48"/>
    <mergeCell ref="B50:B51"/>
    <mergeCell ref="D50:D51"/>
    <mergeCell ref="A52:D52"/>
    <mergeCell ref="A53:D53"/>
    <mergeCell ref="A59:F59"/>
    <mergeCell ref="A63:F63"/>
    <mergeCell ref="B55:B56"/>
    <mergeCell ref="D55:D56"/>
    <mergeCell ref="A50:A51"/>
    <mergeCell ref="C50:C51"/>
    <mergeCell ref="A55:A56"/>
    <mergeCell ref="C55:C56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Quantitative Analyse_5 Levels</vt:lpstr>
      <vt:lpstr>'Quantitative Analyse_5 Levels'!OLE_LINK1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Huber, Susanne</dc:creator>
  <cp:lastModifiedBy>Sascha Berens</cp:lastModifiedBy>
  <cp:lastPrinted>2020-12-02T14:51:22Z</cp:lastPrinted>
  <dcterms:created xsi:type="dcterms:W3CDTF">2019-08-08T07:31:31Z</dcterms:created>
  <dcterms:modified xsi:type="dcterms:W3CDTF">2025-11-27T13:31:38Z</dcterms:modified>
</cp:coreProperties>
</file>